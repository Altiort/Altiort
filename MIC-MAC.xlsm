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defaultThemeVersion="124226"/>
  <bookViews>
    <workbookView xWindow="1302" yWindow="760" windowWidth="16128" windowHeight="12649"/>
  </bookViews>
  <sheets>
    <sheet name="MIC-MAC&amp;" sheetId="1" r:id="rId1"/>
  </sheets>
  <externalReferences>
    <externalReference r:id="rId2"/>
    <externalReference r:id="rId3"/>
  </externalReferences>
  <definedNames>
    <definedName name="__EdFJsKAA" localSheetId="0" hidden="1">[2]!CHART</definedName>
    <definedName name="__EdFJsKBA" localSheetId="0" hidden="1">[1]!Mat</definedName>
    <definedName name="Chart">'MIC-MAC&amp;'!$F$15:$F$15</definedName>
    <definedName name="Mat">'MIC-MAC&amp;'!$A$26:$F$30</definedName>
    <definedName name="Strength_ratios">'MIC-MAC&amp;'!$AF$77:$AK$79</definedName>
  </definedNames>
  <calcPr calcId="145621"/>
</workbook>
</file>

<file path=xl/calcChain.xml><?xml version="1.0" encoding="utf-8"?>
<calcChain xmlns="http://schemas.openxmlformats.org/spreadsheetml/2006/main">
  <c r="F1" i="1" l="1"/>
  <c r="H1" i="1"/>
  <c r="N4" i="1"/>
  <c r="V2" i="1"/>
  <c r="AC2" i="1" s="1"/>
  <c r="O4" i="1"/>
  <c r="W2" i="1" s="1"/>
  <c r="AD2" i="1" s="1"/>
  <c r="P4" i="1"/>
  <c r="X2" i="1"/>
  <c r="AK2" i="1" s="1"/>
  <c r="Q4" i="1"/>
  <c r="Y2" i="1" s="1"/>
  <c r="AE2" i="1"/>
  <c r="AI2" i="1"/>
  <c r="AJ2" i="1"/>
  <c r="AP2" i="1"/>
  <c r="AQ2" i="1"/>
  <c r="H3" i="1"/>
  <c r="N5" i="1"/>
  <c r="R7" i="1" s="1"/>
  <c r="V3" i="1"/>
  <c r="O5" i="1"/>
  <c r="W3" i="1"/>
  <c r="P5" i="1"/>
  <c r="X3" i="1"/>
  <c r="Q5" i="1"/>
  <c r="Y3" i="1"/>
  <c r="R5" i="1"/>
  <c r="Z3" i="1"/>
  <c r="AD3" i="1"/>
  <c r="AF3" i="1"/>
  <c r="AJ3" i="1"/>
  <c r="AL3" i="1"/>
  <c r="AP3" i="1"/>
  <c r="AQ3" i="1"/>
  <c r="AR3" i="1"/>
  <c r="H4" i="1"/>
  <c r="J4" i="1"/>
  <c r="K4" i="1"/>
  <c r="K15" i="1" s="1"/>
  <c r="N6" i="1"/>
  <c r="V4" i="1" s="1"/>
  <c r="P6" i="1"/>
  <c r="X4" i="1" s="1"/>
  <c r="AE4" i="1" s="1"/>
  <c r="AK4" i="1" s="1"/>
  <c r="AQ4" i="1" s="1"/>
  <c r="E5" i="1"/>
  <c r="H7" i="1"/>
  <c r="AC4" i="1"/>
  <c r="AI4" i="1"/>
  <c r="AO4" i="1" s="1"/>
  <c r="J5" i="1"/>
  <c r="AA27" i="1" s="1"/>
  <c r="J15" i="1"/>
  <c r="H5" i="1"/>
  <c r="H10" i="1"/>
  <c r="J6" i="1"/>
  <c r="J7" i="1"/>
  <c r="H11" i="1"/>
  <c r="H12" i="1" s="1"/>
  <c r="V8" i="1"/>
  <c r="H6" i="1"/>
  <c r="H13" i="1" s="1"/>
  <c r="N7" i="1"/>
  <c r="V9" i="1"/>
  <c r="V10" i="1"/>
  <c r="J9" i="1"/>
  <c r="J12" i="1"/>
  <c r="J8" i="1"/>
  <c r="J14" i="1" s="1"/>
  <c r="K5" i="1"/>
  <c r="K6" i="1"/>
  <c r="L6" i="1"/>
  <c r="K11" i="1"/>
  <c r="K13" i="1" s="1"/>
  <c r="K7" i="1"/>
  <c r="K12" i="1"/>
  <c r="K8" i="1"/>
  <c r="K14" i="1"/>
  <c r="L11" i="1"/>
  <c r="L7" i="1"/>
  <c r="L12" i="1"/>
  <c r="L13" i="1" s="1"/>
  <c r="L8" i="1"/>
  <c r="L14" i="1" s="1"/>
  <c r="L15" i="1"/>
  <c r="L16" i="1"/>
  <c r="H8" i="1"/>
  <c r="Z27" i="1"/>
  <c r="AA28" i="1"/>
  <c r="Z28" i="1"/>
  <c r="AA21" i="1"/>
  <c r="Z21" i="1"/>
  <c r="Z22" i="1"/>
  <c r="AA22" i="1" s="1"/>
  <c r="AA20" i="1"/>
  <c r="K16" i="1"/>
  <c r="H15" i="1" l="1"/>
  <c r="L20" i="1"/>
  <c r="K20" i="1"/>
  <c r="J20" i="1"/>
  <c r="K19" i="1"/>
  <c r="L18" i="1"/>
  <c r="K17" i="1"/>
  <c r="L21" i="1"/>
  <c r="R9" i="1"/>
  <c r="S7" i="1"/>
  <c r="N10" i="1" s="1"/>
  <c r="K21" i="1"/>
  <c r="K22" i="1"/>
  <c r="AC3" i="1"/>
  <c r="AI3" i="1"/>
  <c r="AO3" i="1"/>
  <c r="AF2" i="1"/>
  <c r="AL2" i="1"/>
  <c r="AR2" i="1"/>
  <c r="H18" i="1"/>
  <c r="H17" i="1"/>
  <c r="F5" i="1"/>
  <c r="J11" i="1"/>
  <c r="Z20" i="1"/>
  <c r="AO2" i="1"/>
  <c r="Z29" i="1"/>
  <c r="AA29" i="1" s="1"/>
  <c r="L22" i="1"/>
  <c r="L17" i="1"/>
  <c r="L19" i="1"/>
  <c r="K18" i="1"/>
  <c r="P7" i="1"/>
  <c r="J16" i="1"/>
  <c r="J21" i="1" s="1"/>
  <c r="O6" i="1"/>
  <c r="AE3" i="1"/>
  <c r="H16" i="1"/>
  <c r="Q6" i="1"/>
  <c r="AK3" i="1"/>
  <c r="N11" i="1" l="1"/>
  <c r="O9" i="1"/>
  <c r="Y4" i="1"/>
  <c r="AF4" i="1" s="1"/>
  <c r="AL4" i="1" s="1"/>
  <c r="AR4" i="1" s="1"/>
  <c r="Q7" i="1"/>
  <c r="J22" i="1"/>
  <c r="N17" i="1"/>
  <c r="H21" i="1"/>
  <c r="Q17" i="1"/>
  <c r="H22" i="1"/>
  <c r="P17" i="1"/>
  <c r="Q20" i="1"/>
  <c r="P19" i="1"/>
  <c r="N19" i="1"/>
  <c r="P20" i="1"/>
  <c r="N20" i="1"/>
  <c r="Q19" i="1"/>
  <c r="O19" i="1"/>
  <c r="O20" i="1" s="1"/>
  <c r="O7" i="1"/>
  <c r="O17" i="1" s="1"/>
  <c r="O18" i="1" s="1"/>
  <c r="W4" i="1"/>
  <c r="AD4" i="1" s="1"/>
  <c r="AJ4" i="1" s="1"/>
  <c r="AP4" i="1" s="1"/>
  <c r="J13" i="1"/>
  <c r="J19" i="1" s="1"/>
  <c r="J18" i="1"/>
  <c r="E9" i="1"/>
  <c r="E7" i="1"/>
  <c r="E8" i="1"/>
  <c r="R12" i="1"/>
  <c r="P15" i="1"/>
  <c r="P16" i="1" s="1"/>
  <c r="N15" i="1"/>
  <c r="O15" i="1"/>
  <c r="O16" i="1" s="1"/>
  <c r="Q15" i="1"/>
  <c r="Q16" i="1" s="1"/>
  <c r="H19" i="1"/>
  <c r="Q18" i="1" l="1"/>
  <c r="AA4" i="1"/>
  <c r="AA5" i="1" s="1"/>
  <c r="V5" i="1"/>
  <c r="J17" i="1"/>
  <c r="P18" i="1"/>
  <c r="N18" i="1"/>
  <c r="N16" i="1"/>
  <c r="O10" i="1"/>
  <c r="P9" i="1" s="1"/>
  <c r="W5" i="1"/>
  <c r="P10" i="1" l="1"/>
  <c r="Q9" i="1" s="1"/>
  <c r="X5" i="1"/>
  <c r="O11" i="1"/>
  <c r="P11" i="1" l="1"/>
  <c r="R18" i="1" s="1"/>
  <c r="S18" i="1" s="1"/>
  <c r="S26" i="1" s="1"/>
  <c r="Y5" i="1"/>
  <c r="Q10" i="1"/>
  <c r="Q11" i="1"/>
  <c r="R20" i="1"/>
  <c r="S20" i="1" s="1"/>
  <c r="S28" i="1" s="1"/>
  <c r="R15" i="1"/>
  <c r="S15" i="1" s="1"/>
  <c r="R17" i="1"/>
  <c r="S17" i="1" s="1"/>
  <c r="R16" i="1"/>
  <c r="S16" i="1" s="1"/>
  <c r="S23" i="1" l="1"/>
  <c r="S25" i="1"/>
  <c r="R19" i="1"/>
  <c r="S19" i="1" s="1"/>
  <c r="S24" i="1"/>
  <c r="S27" i="1" l="1"/>
  <c r="R21" i="1"/>
  <c r="N27" i="1" l="1"/>
  <c r="P27" i="1" s="1"/>
  <c r="N26" i="1"/>
  <c r="P26" i="1" s="1"/>
  <c r="R26" i="1" s="1"/>
  <c r="B9" i="1" s="1"/>
  <c r="N23" i="1"/>
  <c r="N28" i="1"/>
  <c r="N24" i="1"/>
  <c r="P24" i="1" s="1"/>
  <c r="R24" i="1" s="1"/>
  <c r="B8" i="1" s="1"/>
  <c r="N25" i="1"/>
  <c r="P28" i="1" l="1"/>
  <c r="R28" i="1" s="1"/>
  <c r="C9" i="1" s="1"/>
  <c r="X10" i="1"/>
  <c r="P23" i="1"/>
  <c r="R23" i="1" s="1"/>
  <c r="B7" i="1" s="1"/>
  <c r="X8" i="1"/>
  <c r="P25" i="1"/>
  <c r="R25" i="1" s="1"/>
  <c r="C7" i="1" s="1"/>
  <c r="X9" i="1"/>
  <c r="F8" i="1" s="1"/>
  <c r="R27" i="1"/>
  <c r="C8" i="1" s="1"/>
  <c r="AA10" i="1" l="1"/>
  <c r="F9" i="1"/>
  <c r="F7" i="1"/>
  <c r="AA8" i="1"/>
  <c r="AA9" i="1"/>
  <c r="X15" i="1" l="1"/>
  <c r="X22" i="1" s="1"/>
  <c r="V15" i="1"/>
  <c r="V22" i="1" s="1"/>
  <c r="Y15" i="1"/>
  <c r="Y22" i="1" s="1"/>
  <c r="W15" i="1"/>
  <c r="W22" i="1" s="1"/>
  <c r="W13" i="1"/>
  <c r="W20" i="1" s="1"/>
  <c r="Y14" i="1"/>
  <c r="Y21" i="1" s="1"/>
  <c r="AF21" i="1" s="1"/>
  <c r="V13" i="1"/>
  <c r="V20" i="1" s="1"/>
  <c r="V14" i="1"/>
  <c r="V21" i="1" s="1"/>
  <c r="AC21" i="1" s="1"/>
  <c r="W14" i="1"/>
  <c r="W21" i="1" s="1"/>
  <c r="AD21" i="1" s="1"/>
  <c r="X14" i="1"/>
  <c r="X21" i="1" s="1"/>
  <c r="AE21" i="1" s="1"/>
  <c r="X13" i="1"/>
  <c r="X20" i="1" s="1"/>
  <c r="Y13" i="1"/>
  <c r="Y20" i="1" s="1"/>
  <c r="V29" i="1" l="1"/>
  <c r="AC29" i="1" s="1"/>
  <c r="AC22" i="1"/>
  <c r="Y28" i="1"/>
  <c r="AF28" i="1" s="1"/>
  <c r="AF20" i="1"/>
  <c r="Y27" i="1"/>
  <c r="AF27" i="1" s="1"/>
  <c r="AL7" i="1"/>
  <c r="AL8" i="1" s="1"/>
  <c r="AL12" i="1" s="1"/>
  <c r="AL6" i="1"/>
  <c r="AF7" i="1"/>
  <c r="AF8" i="1" s="1"/>
  <c r="AF12" i="1" s="1"/>
  <c r="AR7" i="1"/>
  <c r="AR6" i="1"/>
  <c r="AF6" i="1"/>
  <c r="W29" i="1"/>
  <c r="AD29" i="1" s="1"/>
  <c r="AD22" i="1"/>
  <c r="X27" i="1"/>
  <c r="AE27" i="1" s="1"/>
  <c r="X28" i="1"/>
  <c r="AE28" i="1" s="1"/>
  <c r="AE20" i="1"/>
  <c r="AK6" i="1"/>
  <c r="AE7" i="1"/>
  <c r="AK7" i="1"/>
  <c r="AQ6" i="1"/>
  <c r="AQ7" i="1"/>
  <c r="AE6" i="1"/>
  <c r="V27" i="1"/>
  <c r="AC27" i="1" s="1"/>
  <c r="V28" i="1"/>
  <c r="AC28" i="1" s="1"/>
  <c r="AC20" i="1"/>
  <c r="AC7" i="1"/>
  <c r="AC8" i="1" s="1"/>
  <c r="AC12" i="1" s="1"/>
  <c r="AO6" i="1"/>
  <c r="AO7" i="1"/>
  <c r="AO8" i="1" s="1"/>
  <c r="AO12" i="1" s="1"/>
  <c r="AI7" i="1"/>
  <c r="AI6" i="1"/>
  <c r="AC6" i="1"/>
  <c r="Y29" i="1"/>
  <c r="AF29" i="1" s="1"/>
  <c r="AF22" i="1"/>
  <c r="W27" i="1"/>
  <c r="AD27" i="1" s="1"/>
  <c r="W28" i="1"/>
  <c r="AD28" i="1" s="1"/>
  <c r="AD20" i="1"/>
  <c r="AD24" i="1" s="1"/>
  <c r="AP6" i="1"/>
  <c r="AP7" i="1"/>
  <c r="AP8" i="1" s="1"/>
  <c r="AP12" i="1" s="1"/>
  <c r="AD7" i="1"/>
  <c r="AJ7" i="1"/>
  <c r="AJ8" i="1" s="1"/>
  <c r="AJ12" i="1" s="1"/>
  <c r="AJ6" i="1"/>
  <c r="AD6" i="1"/>
  <c r="X29" i="1"/>
  <c r="AE29" i="1" s="1"/>
  <c r="AE22" i="1"/>
  <c r="AP16" i="1" l="1"/>
  <c r="AP17" i="1" s="1"/>
  <c r="AD31" i="1"/>
  <c r="AE24" i="1"/>
  <c r="AF24" i="1"/>
  <c r="AD8" i="1"/>
  <c r="AD12" i="1" s="1"/>
  <c r="AG27" i="1"/>
  <c r="AC31" i="1"/>
  <c r="AO16" i="1"/>
  <c r="AO17" i="1" s="1"/>
  <c r="AK8" i="1"/>
  <c r="AK12" i="1" s="1"/>
  <c r="AE8" i="1"/>
  <c r="AE12" i="1" s="1"/>
  <c r="AG14" i="1" s="1"/>
  <c r="AE31" i="1"/>
  <c r="AQ16" i="1"/>
  <c r="AI8" i="1"/>
  <c r="AI12" i="1" s="1"/>
  <c r="AM14" i="1" s="1"/>
  <c r="C12" i="1" s="1"/>
  <c r="AG20" i="1"/>
  <c r="AC24" i="1"/>
  <c r="AG24" i="1" s="1"/>
  <c r="F12" i="1" s="1"/>
  <c r="AQ8" i="1"/>
  <c r="AQ12" i="1" s="1"/>
  <c r="AQ17" i="1" s="1"/>
  <c r="AR8" i="1"/>
  <c r="AR12" i="1" s="1"/>
  <c r="AF31" i="1"/>
  <c r="AR16" i="1"/>
  <c r="B5" i="1" l="1"/>
  <c r="C5" i="1" s="1"/>
  <c r="B12" i="1"/>
  <c r="B13" i="1" s="1"/>
  <c r="AR18" i="1"/>
  <c r="D12" i="1" s="1"/>
  <c r="D13" i="1" s="1"/>
  <c r="F13" i="1"/>
  <c r="AR17" i="1"/>
  <c r="C13" i="1"/>
  <c r="AG31" i="1"/>
  <c r="E12" i="1" s="1"/>
  <c r="E13" i="1" s="1"/>
</calcChain>
</file>

<file path=xl/sharedStrings.xml><?xml version="1.0" encoding="utf-8"?>
<sst xmlns="http://schemas.openxmlformats.org/spreadsheetml/2006/main" count="209" uniqueCount="168">
  <si>
    <t>Ply data definitions:</t>
  </si>
  <si>
    <t>U1</t>
  </si>
  <si>
    <t>Fx,E-3</t>
  </si>
  <si>
    <t>epss o</t>
  </si>
  <si>
    <t>NAME</t>
  </si>
  <si>
    <t>Ex,GPa</t>
  </si>
  <si>
    <t>Ey,GPa</t>
  </si>
  <si>
    <t>Es,GPa</t>
  </si>
  <si>
    <t>U2</t>
  </si>
  <si>
    <t>Fy,E-3</t>
  </si>
  <si>
    <t>R/X,X'</t>
  </si>
  <si>
    <t>X,MPa</t>
  </si>
  <si>
    <t>X',MPa</t>
  </si>
  <si>
    <t>Y,MPa</t>
  </si>
  <si>
    <t>Y',MPa</t>
  </si>
  <si>
    <t>S,MPa</t>
  </si>
  <si>
    <t>U3</t>
  </si>
  <si>
    <t>Gxx</t>
  </si>
  <si>
    <t>21=12</t>
  </si>
  <si>
    <t>Fxy*</t>
  </si>
  <si>
    <t>ho, mm</t>
  </si>
  <si>
    <t>Vf</t>
  </si>
  <si>
    <t>rho/ply</t>
  </si>
  <si>
    <t>U4</t>
  </si>
  <si>
    <t>Gyy</t>
  </si>
  <si>
    <t>Ply data block used in program:</t>
  </si>
  <si>
    <t>U5=G^iso</t>
  </si>
  <si>
    <t>Gxy</t>
  </si>
  <si>
    <t>61=16</t>
  </si>
  <si>
    <t>On-axis strains</t>
  </si>
  <si>
    <t>eps*+</t>
  </si>
  <si>
    <t>eps*-</t>
  </si>
  <si>
    <t>R/strains</t>
  </si>
  <si>
    <t>Hashin (max eps)</t>
  </si>
  <si>
    <t>T3/N52[SI]</t>
  </si>
  <si>
    <t>Quasi-isotropic constants</t>
  </si>
  <si>
    <t>Gss</t>
  </si>
  <si>
    <t>62=26</t>
  </si>
  <si>
    <t>eps x</t>
  </si>
  <si>
    <t>E^iso</t>
  </si>
  <si>
    <t>Gx</t>
  </si>
  <si>
    <t>eps y</t>
  </si>
  <si>
    <t>nu^iso</t>
  </si>
  <si>
    <t>Gy</t>
  </si>
  <si>
    <t xml:space="preserve">Compl </t>
  </si>
  <si>
    <t>[a]</t>
  </si>
  <si>
    <t>[a*]</t>
  </si>
  <si>
    <t>Ei o</t>
  </si>
  <si>
    <t>[A*], GPa</t>
  </si>
  <si>
    <t>eps s</t>
  </si>
  <si>
    <t>Ply database (copy &amp; paste onto block A20):</t>
  </si>
  <si>
    <t>R/max strain</t>
  </si>
  <si>
    <t>R/min</t>
  </si>
  <si>
    <t>On-axis mech stresses</t>
  </si>
  <si>
    <t>sig*+</t>
  </si>
  <si>
    <t>sig*-</t>
  </si>
  <si>
    <t>R/stresses</t>
  </si>
  <si>
    <t>Hashin (max sig)</t>
  </si>
  <si>
    <t>E-glass/ep</t>
  </si>
  <si>
    <t>sig x</t>
  </si>
  <si>
    <t>sig y</t>
  </si>
  <si>
    <t>sig s</t>
  </si>
  <si>
    <t>AS/3501</t>
  </si>
  <si>
    <t>R/max stress</t>
  </si>
  <si>
    <t xml:space="preserve">LPT: in-plane/sig </t>
  </si>
  <si>
    <t>Ply mat:    Ply material, in SI or English units</t>
  </si>
  <si>
    <t>PLY DATA MODULE</t>
  </si>
  <si>
    <t>LAMINATE MODULUS MODULE - elastic constants</t>
  </si>
  <si>
    <t xml:space="preserve"> STRESS ANALYSIS MODULE  </t>
  </si>
  <si>
    <t>STRENGTH ANALYSIS (Tsai-Wu/-0.5) -</t>
  </si>
  <si>
    <t>STRENGTH ANALYSIS (Tsai-Wu/0.0) -</t>
  </si>
  <si>
    <t>STRENGTH ANALYSIS (Hashin) -</t>
  </si>
  <si>
    <t>[angle]    Ply angle in degree.  The first ply group is the outermost; i.e., the ply angles run from outer surface toward the mid-plane.</t>
  </si>
  <si>
    <t>Stiffness</t>
  </si>
  <si>
    <t>Baseline</t>
  </si>
  <si>
    <t>TW/-0.5</t>
  </si>
  <si>
    <t>TW/0.0</t>
  </si>
  <si>
    <t>Hashin</t>
  </si>
  <si>
    <t>Laminate code: {[theta/#, . . .]r/zc}s</t>
  </si>
  <si>
    <t>theta</t>
  </si>
  <si>
    <t>[r]</t>
  </si>
  <si>
    <t xml:space="preserve"> [ply#]        Number of plies for each ply angle or ply group</t>
  </si>
  <si>
    <t>Ex</t>
  </si>
  <si>
    <t>Ply &amp; consti strengths MPa or ksi</t>
  </si>
  <si>
    <t>Angle</t>
  </si>
  <si>
    <t>theta/1</t>
  </si>
  <si>
    <t>theta/2</t>
  </si>
  <si>
    <t>theta/3</t>
  </si>
  <si>
    <t>theta/4</t>
  </si>
  <si>
    <t xml:space="preserve">#/group </t>
  </si>
  <si>
    <t>[Rotate]     Rigid body rotation of the laminate, in degree</t>
  </si>
  <si>
    <t>R/FPF</t>
  </si>
  <si>
    <t>k/FPF</t>
  </si>
  <si>
    <t>[repeat]  Repeated sublaminates</t>
  </si>
  <si>
    <t xml:space="preserve">   h, #      Total thickness including core in number of plies</t>
  </si>
  <si>
    <t xml:space="preserve">  h, E-3      Total thickness in mm or mil</t>
  </si>
  <si>
    <t>Ey</t>
  </si>
  <si>
    <t>X</t>
  </si>
  <si>
    <t>[theta]</t>
  </si>
  <si>
    <t>2Xtheta</t>
  </si>
  <si>
    <t>h</t>
  </si>
  <si>
    <t>nu/x</t>
  </si>
  <si>
    <t>X'</t>
  </si>
  <si>
    <t>[#/grp]</t>
  </si>
  <si>
    <t>top z</t>
  </si>
  <si>
    <t>h^2/6</t>
  </si>
  <si>
    <t xml:space="preserve">Fxy* </t>
  </si>
  <si>
    <t xml:space="preserve">Fxy*= 0 </t>
  </si>
  <si>
    <t>X,X' = inf</t>
  </si>
  <si>
    <t>{E^o}         Effective in-plane engineering constants</t>
  </si>
  <si>
    <t>nu21,61,62  Effective coupling coefficients (Poisson and shear coupling)</t>
  </si>
  <si>
    <t>{N}MN/m or kip/in    Applied in-plane stress resultant</t>
  </si>
  <si>
    <t xml:space="preserve"> &lt;sig^o&gt;    Effective in-plane stress, N/h</t>
  </si>
  <si>
    <t>&lt;eps^o&gt;    Effective in-plane strain at applied load, &lt;epsilon°&gt;</t>
  </si>
  <si>
    <t>Es</t>
  </si>
  <si>
    <t>Y</t>
  </si>
  <si>
    <t>2X,rad</t>
  </si>
  <si>
    <t>unit,#ply</t>
  </si>
  <si>
    <t>h/2,#ply</t>
  </si>
  <si>
    <t>Laminate loads &amp; strains</t>
  </si>
  <si>
    <t>a</t>
  </si>
  <si>
    <t>ho, mm or mil</t>
  </si>
  <si>
    <t>Y'</t>
  </si>
  <si>
    <t>4X,rad</t>
  </si>
  <si>
    <t>{N}</t>
  </si>
  <si>
    <t>eps  o</t>
  </si>
  <si>
    <t>(p,q,r)eps</t>
  </si>
  <si>
    <t>In-plane</t>
  </si>
  <si>
    <t>b</t>
  </si>
  <si>
    <t>vol/f</t>
  </si>
  <si>
    <t>S</t>
  </si>
  <si>
    <t>u</t>
  </si>
  <si>
    <t>p o</t>
  </si>
  <si>
    <t>b/2a</t>
  </si>
  <si>
    <t>Plane stress stiffness GPa or msi</t>
  </si>
  <si>
    <t>[Fxy*]</t>
  </si>
  <si>
    <t>Top z*</t>
  </si>
  <si>
    <t>q o</t>
  </si>
  <si>
    <t>Qxx</t>
  </si>
  <si>
    <t>Strength parameters, E-6</t>
  </si>
  <si>
    <t>Bott z*</t>
  </si>
  <si>
    <t>r o</t>
  </si>
  <si>
    <t>Failure criteria</t>
  </si>
  <si>
    <t>max sig</t>
  </si>
  <si>
    <t>max eps</t>
  </si>
  <si>
    <t>Qyy</t>
  </si>
  <si>
    <t>Fxx</t>
  </si>
  <si>
    <t>del(z*)</t>
  </si>
  <si>
    <t>Qxy</t>
  </si>
  <si>
    <t>Fyy</t>
  </si>
  <si>
    <t xml:space="preserve"> </t>
  </si>
  <si>
    <t>On-axis epsilons</t>
  </si>
  <si>
    <t>R</t>
  </si>
  <si>
    <t>R*/FPF</t>
  </si>
  <si>
    <t>Qss</t>
  </si>
  <si>
    <t>Fxy</t>
  </si>
  <si>
    <t>epsx o</t>
  </si>
  <si>
    <t>FPF</t>
  </si>
  <si>
    <t>Linear combinations,</t>
  </si>
  <si>
    <t>Fss</t>
  </si>
  <si>
    <t>Stiff</t>
  </si>
  <si>
    <t>[Q]/1</t>
  </si>
  <si>
    <t>[Q]/2</t>
  </si>
  <si>
    <t>[Q]/3</t>
  </si>
  <si>
    <t>[Q]/4</t>
  </si>
  <si>
    <t>[A]o</t>
  </si>
  <si>
    <t>[A]</t>
  </si>
  <si>
    <t>epsy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</si>
</sst>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4" formatCode="&quot;$&quot;#,##0.00_);\(&quot;$&quot;#,##0.00\)"/>
    <numFmt numFmtId="178" formatCode="0E+00"/>
    <numFmt numFmtId="179" formatCode="0.0"/>
    <numFmt numFmtId="180" formatCode="0.000"/>
    <numFmt numFmtId="181" formatCode="0.0E+00"/>
    <numFmt numFmtId="182" formatCode="0.000E+00"/>
  </numFmts>
  <fonts count="3">
    <font>
      <sz val="12"/>
      <name val="Chemistry"/>
    </font>
    <font>
      <sz val="10"/>
      <name val="Geneva"/>
    </font>
    <font>
      <b/>
      <sz val="10"/>
      <color indexed="12"/>
      <name val="Geneva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2" fontId="1" fillId="0" borderId="0" xfId="0" applyNumberFormat="1" applyFont="1"/>
    <xf numFmtId="1" fontId="1" fillId="0" borderId="0" xfId="0" applyNumberFormat="1" applyFont="1"/>
    <xf numFmtId="0" fontId="1" fillId="2" borderId="0" xfId="0" applyFont="1" applyFill="1"/>
    <xf numFmtId="2" fontId="1" fillId="2" borderId="0" xfId="0" applyNumberFormat="1" applyFont="1" applyFill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2" fontId="1" fillId="3" borderId="0" xfId="0" applyNumberFormat="1" applyFont="1" applyFill="1" applyAlignment="1">
      <alignment horizontal="left"/>
    </xf>
    <xf numFmtId="179" fontId="1" fillId="3" borderId="0" xfId="0" applyNumberFormat="1" applyFont="1" applyFill="1" applyAlignment="1">
      <alignment horizontal="left"/>
    </xf>
    <xf numFmtId="2" fontId="1" fillId="3" borderId="0" xfId="0" applyNumberFormat="1" applyFont="1" applyFill="1"/>
    <xf numFmtId="1" fontId="1" fillId="3" borderId="0" xfId="0" applyNumberFormat="1" applyFont="1" applyFill="1"/>
    <xf numFmtId="181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1" fontId="1" fillId="3" borderId="0" xfId="0" applyNumberFormat="1" applyFont="1" applyFill="1" applyAlignment="1">
      <alignment horizontal="right"/>
    </xf>
    <xf numFmtId="179" fontId="1" fillId="3" borderId="0" xfId="0" applyNumberFormat="1" applyFont="1" applyFill="1"/>
    <xf numFmtId="179" fontId="1" fillId="3" borderId="0" xfId="0" applyNumberFormat="1" applyFont="1" applyFill="1" applyBorder="1"/>
    <xf numFmtId="1" fontId="2" fillId="3" borderId="0" xfId="0" applyNumberFormat="1" applyFont="1" applyFill="1" applyAlignment="1">
      <alignment horizontal="right"/>
    </xf>
    <xf numFmtId="179" fontId="2" fillId="3" borderId="0" xfId="0" applyNumberFormat="1" applyFont="1" applyFill="1" applyAlignment="1">
      <alignment horizontal="right"/>
    </xf>
    <xf numFmtId="2" fontId="2" fillId="3" borderId="0" xfId="0" applyNumberFormat="1" applyFont="1" applyFill="1"/>
    <xf numFmtId="0" fontId="1" fillId="0" borderId="0" xfId="0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178" fontId="1" fillId="0" borderId="0" xfId="0" applyNumberFormat="1" applyFont="1" applyFill="1"/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Alignment="1">
      <alignment horizontal="left"/>
    </xf>
    <xf numFmtId="178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" fontId="1" fillId="0" borderId="0" xfId="0" applyNumberFormat="1" applyFont="1" applyFill="1" applyAlignment="1">
      <alignment horizontal="center"/>
    </xf>
    <xf numFmtId="179" fontId="1" fillId="0" borderId="0" xfId="0" applyNumberFormat="1" applyFont="1" applyFill="1" applyAlignment="1">
      <alignment horizontal="center"/>
    </xf>
    <xf numFmtId="2" fontId="1" fillId="0" borderId="0" xfId="0" applyNumberFormat="1" applyFont="1" applyFill="1" applyBorder="1"/>
    <xf numFmtId="1" fontId="1" fillId="0" borderId="0" xfId="0" applyNumberFormat="1" applyFont="1" applyFill="1" applyBorder="1"/>
    <xf numFmtId="181" fontId="1" fillId="0" borderId="0" xfId="0" applyNumberFormat="1" applyFont="1" applyFill="1" applyBorder="1"/>
    <xf numFmtId="1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center"/>
    </xf>
    <xf numFmtId="180" fontId="1" fillId="0" borderId="0" xfId="0" applyNumberFormat="1" applyFont="1" applyFill="1" applyAlignment="1">
      <alignment horizontal="right"/>
    </xf>
    <xf numFmtId="181" fontId="1" fillId="0" borderId="0" xfId="0" applyNumberFormat="1" applyFont="1" applyFill="1" applyAlignment="1">
      <alignment horizontal="center"/>
    </xf>
    <xf numFmtId="2" fontId="1" fillId="0" borderId="0" xfId="0" applyNumberFormat="1" applyFont="1" applyFill="1"/>
    <xf numFmtId="180" fontId="1" fillId="0" borderId="0" xfId="0" applyNumberFormat="1" applyFont="1" applyFill="1" applyBorder="1"/>
    <xf numFmtId="182" fontId="1" fillId="0" borderId="0" xfId="0" applyNumberFormat="1" applyFont="1" applyFill="1" applyAlignment="1">
      <alignment horizontal="center"/>
    </xf>
    <xf numFmtId="178" fontId="1" fillId="0" borderId="0" xfId="0" applyNumberFormat="1" applyFont="1" applyFill="1" applyAlignment="1">
      <alignment horizontal="left"/>
    </xf>
    <xf numFmtId="1" fontId="1" fillId="0" borderId="0" xfId="0" applyNumberFormat="1" applyFont="1" applyFill="1" applyBorder="1" applyAlignment="1">
      <alignment horizontal="right"/>
    </xf>
    <xf numFmtId="1" fontId="1" fillId="0" borderId="0" xfId="0" applyNumberFormat="1" applyFont="1" applyFill="1"/>
    <xf numFmtId="2" fontId="1" fillId="0" borderId="0" xfId="0" applyNumberFormat="1" applyFont="1" applyFill="1" applyBorder="1" applyAlignment="1">
      <alignment horizontal="right"/>
    </xf>
    <xf numFmtId="178" fontId="1" fillId="0" borderId="0" xfId="0" applyNumberFormat="1" applyFont="1" applyFill="1" applyAlignment="1">
      <alignment horizontal="right"/>
    </xf>
    <xf numFmtId="181" fontId="1" fillId="0" borderId="0" xfId="0" applyNumberFormat="1" applyFont="1" applyFill="1"/>
    <xf numFmtId="180" fontId="1" fillId="0" borderId="0" xfId="0" applyNumberFormat="1" applyFont="1" applyFill="1"/>
    <xf numFmtId="2" fontId="1" fillId="0" borderId="0" xfId="0" applyNumberFormat="1" applyFont="1" applyFill="1" applyAlignment="1">
      <alignment horizontal="left"/>
    </xf>
    <xf numFmtId="179" fontId="1" fillId="0" borderId="0" xfId="0" applyNumberFormat="1" applyFont="1" applyFill="1" applyBorder="1"/>
    <xf numFmtId="174" fontId="1" fillId="0" borderId="0" xfId="0" applyNumberFormat="1" applyFont="1" applyFill="1"/>
    <xf numFmtId="1" fontId="1" fillId="3" borderId="0" xfId="0" applyNumberFormat="1" applyFont="1" applyFill="1" applyAlignment="1">
      <alignment horizontal="left"/>
    </xf>
    <xf numFmtId="0" fontId="1" fillId="4" borderId="0" xfId="0" applyFont="1" applyFill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MAT.XL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CHART.XL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definedNames>
      <definedName name="Mat"/>
    </defined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</sheetNames>
    <definedNames>
      <definedName name="CHART" refersTo="='CHART'!$A$1:$A$94"/>
    </definedNames>
    <sheetDataSet>
      <sheetData sheetId="0">
        <row r="1">
          <cell r="A1" t="str">
            <v>C.....SIMPLIFIED CHART PLOTTING UTILITY - FOR TSAI MIC-MACS : DEVELOPED BY DAN MOLLIGAN 2/19/87 ;</v>
          </cell>
        </row>
        <row r="2">
          <cell r="A2" t="str">
            <v>C.....TIME TO INITIALIZE THE VARIABLES FOR INCREMENTING AND STORAGE OF DATA RESULTS</v>
          </cell>
        </row>
        <row r="4">
          <cell r="A4" t="str">
            <v>cont</v>
          </cell>
        </row>
        <row r="5">
          <cell r="A5" t="b">
            <v>1</v>
          </cell>
        </row>
        <row r="6">
          <cell r="A6" t="b">
            <v>1</v>
          </cell>
        </row>
        <row r="7">
          <cell r="A7" t="b">
            <v>1</v>
          </cell>
        </row>
        <row r="8">
          <cell r="A8" t="b">
            <v>1</v>
          </cell>
        </row>
        <row r="9">
          <cell r="A9" t="b">
            <v>1</v>
          </cell>
        </row>
        <row r="10">
          <cell r="A10" t="b">
            <v>1</v>
          </cell>
        </row>
        <row r="11">
          <cell r="A11" t="b">
            <v>1</v>
          </cell>
        </row>
        <row r="12">
          <cell r="A12" t="e">
            <v>#N/A</v>
          </cell>
        </row>
        <row r="13">
          <cell r="A13" t="b">
            <v>1</v>
          </cell>
        </row>
        <row r="14">
          <cell r="A14" t="b">
            <v>1</v>
          </cell>
        </row>
        <row r="15">
          <cell r="A15" t="b">
            <v>0</v>
          </cell>
        </row>
        <row r="16">
          <cell r="A16" t="b">
            <v>1</v>
          </cell>
        </row>
        <row r="17">
          <cell r="A17" t="b">
            <v>1</v>
          </cell>
        </row>
        <row r="18">
          <cell r="A18" t="b">
            <v>1</v>
          </cell>
        </row>
        <row r="19">
          <cell r="A19" t="str">
            <v>....HOW MANY CURVES DO WE WANT TO PLOT</v>
          </cell>
        </row>
        <row r="20">
          <cell r="A20" t="b">
            <v>1</v>
          </cell>
        </row>
        <row r="21">
          <cell r="A21" t="b">
            <v>1</v>
          </cell>
        </row>
        <row r="22">
          <cell r="A22" t="str">
            <v>then</v>
          </cell>
        </row>
        <row r="23">
          <cell r="A23" t="b">
            <v>1</v>
          </cell>
        </row>
        <row r="24">
          <cell r="A24" t="b">
            <v>1</v>
          </cell>
        </row>
        <row r="25">
          <cell r="A25" t="b">
            <v>1</v>
          </cell>
        </row>
        <row r="26">
          <cell r="A26" t="str">
            <v>els3</v>
          </cell>
        </row>
        <row r="27">
          <cell r="A27" t="b">
            <v>1</v>
          </cell>
        </row>
        <row r="28">
          <cell r="A28" t="str">
            <v>then</v>
          </cell>
        </row>
        <row r="29">
          <cell r="A29" t="b">
            <v>1</v>
          </cell>
        </row>
        <row r="30">
          <cell r="A30" t="b">
            <v>1</v>
          </cell>
        </row>
        <row r="31">
          <cell r="A31" t="b">
            <v>1</v>
          </cell>
        </row>
        <row r="32">
          <cell r="A32" t="b">
            <v>0</v>
          </cell>
        </row>
        <row r="33">
          <cell r="A33" t="b">
            <v>1</v>
          </cell>
        </row>
        <row r="34">
          <cell r="A34" t="str">
            <v>els4</v>
          </cell>
        </row>
        <row r="35">
          <cell r="A35" t="b">
            <v>0</v>
          </cell>
        </row>
        <row r="36">
          <cell r="A36" t="str">
            <v>then</v>
          </cell>
        </row>
        <row r="37">
          <cell r="A37" t="b">
            <v>1</v>
          </cell>
        </row>
        <row r="38">
          <cell r="A38" t="b">
            <v>1</v>
          </cell>
        </row>
        <row r="39">
          <cell r="A39" t="b">
            <v>1</v>
          </cell>
        </row>
        <row r="40">
          <cell r="A40" t="b">
            <v>1</v>
          </cell>
        </row>
        <row r="41">
          <cell r="A41" t="b">
            <v>1</v>
          </cell>
        </row>
        <row r="42">
          <cell r="A42" t="b">
            <v>1</v>
          </cell>
        </row>
        <row r="43">
          <cell r="A43" t="b">
            <v>1</v>
          </cell>
        </row>
        <row r="44">
          <cell r="A44" t="str">
            <v>els5</v>
          </cell>
        </row>
        <row r="45">
          <cell r="A45" t="b">
            <v>1</v>
          </cell>
        </row>
        <row r="46">
          <cell r="A46" t="b">
            <v>1</v>
          </cell>
        </row>
        <row r="47">
          <cell r="A47" t="str">
            <v>continu2</v>
          </cell>
        </row>
        <row r="48">
          <cell r="A48">
            <v>90</v>
          </cell>
        </row>
        <row r="49">
          <cell r="A49" t="b">
            <v>1</v>
          </cell>
        </row>
        <row r="50">
          <cell r="A50" t="b">
            <v>1</v>
          </cell>
        </row>
        <row r="51">
          <cell r="A51" t="b">
            <v>1</v>
          </cell>
        </row>
        <row r="52">
          <cell r="A52" t="b">
            <v>1</v>
          </cell>
        </row>
        <row r="53">
          <cell r="A53" t="b">
            <v>1</v>
          </cell>
        </row>
        <row r="54">
          <cell r="A54" t="b">
            <v>1</v>
          </cell>
        </row>
        <row r="55">
          <cell r="A55" t="b">
            <v>1</v>
          </cell>
        </row>
        <row r="56">
          <cell r="A56" t="b">
            <v>0</v>
          </cell>
        </row>
        <row r="57">
          <cell r="A57" t="b">
            <v>1</v>
          </cell>
        </row>
        <row r="58">
          <cell r="A58" t="b">
            <v>0</v>
          </cell>
        </row>
        <row r="59">
          <cell r="A59" t="b">
            <v>1</v>
          </cell>
        </row>
        <row r="60">
          <cell r="A60" t="b">
            <v>1</v>
          </cell>
        </row>
        <row r="61">
          <cell r="A61" t="b">
            <v>1</v>
          </cell>
        </row>
        <row r="62">
          <cell r="A62" t="b">
            <v>0</v>
          </cell>
        </row>
        <row r="63">
          <cell r="A63" t="str">
            <v>=R[5]C[10]</v>
          </cell>
        </row>
        <row r="64">
          <cell r="A64" t="b">
            <v>1</v>
          </cell>
        </row>
        <row r="65">
          <cell r="A65" t="b">
            <v>1</v>
          </cell>
        </row>
        <row r="66">
          <cell r="A66" t="str">
            <v>then</v>
          </cell>
        </row>
        <row r="67">
          <cell r="A67" t="b">
            <v>1</v>
          </cell>
        </row>
        <row r="68">
          <cell r="A68" t="b">
            <v>1</v>
          </cell>
        </row>
        <row r="69">
          <cell r="A69" t="b">
            <v>1</v>
          </cell>
        </row>
        <row r="70">
          <cell r="A70" t="b">
            <v>1</v>
          </cell>
        </row>
        <row r="71">
          <cell r="A71" t="b">
            <v>1</v>
          </cell>
        </row>
        <row r="72">
          <cell r="A72" t="str">
            <v>then</v>
          </cell>
        </row>
        <row r="73">
          <cell r="A73" t="b">
            <v>1</v>
          </cell>
        </row>
        <row r="74">
          <cell r="A74" t="b">
            <v>1</v>
          </cell>
        </row>
        <row r="75">
          <cell r="A75" t="b">
            <v>1</v>
          </cell>
        </row>
        <row r="76">
          <cell r="A76" t="b">
            <v>1</v>
          </cell>
        </row>
        <row r="77">
          <cell r="A77" t="b">
            <v>1</v>
          </cell>
        </row>
        <row r="78">
          <cell r="A78" t="b">
            <v>1</v>
          </cell>
        </row>
        <row r="79">
          <cell r="A79" t="b">
            <v>1</v>
          </cell>
        </row>
        <row r="80">
          <cell r="A80" t="b">
            <v>1</v>
          </cell>
        </row>
        <row r="81">
          <cell r="A81" t="b">
            <v>1</v>
          </cell>
        </row>
        <row r="82">
          <cell r="A82" t="b">
            <v>1</v>
          </cell>
        </row>
        <row r="83">
          <cell r="A83" t="b">
            <v>1</v>
          </cell>
        </row>
        <row r="84">
          <cell r="A84" t="b">
            <v>1</v>
          </cell>
        </row>
        <row r="85">
          <cell r="A85" t="b">
            <v>1</v>
          </cell>
        </row>
        <row r="86">
          <cell r="A86" t="b">
            <v>1</v>
          </cell>
        </row>
        <row r="87">
          <cell r="A87" t="b">
            <v>1</v>
          </cell>
        </row>
        <row r="88">
          <cell r="A88" t="b">
            <v>1</v>
          </cell>
        </row>
        <row r="89">
          <cell r="A89" t="b">
            <v>1</v>
          </cell>
        </row>
        <row r="90">
          <cell r="A90" t="b">
            <v>0</v>
          </cell>
        </row>
        <row r="91">
          <cell r="A91" t="b">
            <v>1</v>
          </cell>
        </row>
        <row r="94">
          <cell r="A94" t="b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85"/>
  <sheetViews>
    <sheetView tabSelected="1" workbookViewId="0">
      <selection activeCell="D7" sqref="D7"/>
    </sheetView>
  </sheetViews>
  <sheetFormatPr defaultColWidth="10.6640625" defaultRowHeight="12.7"/>
  <cols>
    <col min="1" max="1" width="29.08203125" style="1" customWidth="1"/>
    <col min="2" max="2" width="15.4140625" style="1" customWidth="1"/>
    <col min="3" max="3" width="20.25" style="1" customWidth="1"/>
    <col min="4" max="4" width="14.6640625" style="1" customWidth="1"/>
    <col min="5" max="5" width="29.75" style="1" customWidth="1"/>
    <col min="6" max="6" width="33" style="1" customWidth="1"/>
    <col min="7" max="9" width="7.6640625" style="22" customWidth="1"/>
    <col min="10" max="10" width="15.9140625" style="22" customWidth="1"/>
    <col min="11" max="12" width="7.6640625" style="22" customWidth="1"/>
    <col min="13" max="17" width="7.6640625" style="23" customWidth="1"/>
    <col min="18" max="19" width="7.6640625" style="24" customWidth="1"/>
    <col min="20" max="21" width="7.6640625" style="23" customWidth="1"/>
    <col min="22" max="23" width="7.6640625" style="24" customWidth="1"/>
    <col min="24" max="30" width="7.6640625" style="23" customWidth="1"/>
    <col min="31" max="31" width="7.6640625" style="24" customWidth="1"/>
    <col min="32" max="36" width="7.6640625" style="23" customWidth="1"/>
    <col min="37" max="37" width="7.6640625" style="24" customWidth="1"/>
    <col min="38" max="44" width="7.6640625" style="23" customWidth="1"/>
    <col min="45" max="45" width="6.08203125" style="23" customWidth="1"/>
    <col min="46" max="47" width="6.08203125" style="1" customWidth="1"/>
    <col min="48" max="254" width="7.6640625" style="1" customWidth="1"/>
    <col min="255" max="16384" width="10.6640625" style="1"/>
  </cols>
  <sheetData>
    <row r="1" spans="1:45" ht="17.149999999999999" customHeight="1">
      <c r="A1" s="6" t="s">
        <v>64</v>
      </c>
      <c r="B1" s="7"/>
      <c r="C1" s="7"/>
      <c r="D1" s="7"/>
      <c r="E1" s="6" t="s">
        <v>65</v>
      </c>
      <c r="F1" s="8" t="str">
        <f>A20</f>
        <v>E-glass/ep</v>
      </c>
      <c r="G1" s="20" t="s">
        <v>66</v>
      </c>
      <c r="H1" s="21" t="str">
        <f>A20</f>
        <v>E-glass/ep</v>
      </c>
      <c r="M1" s="23" t="s">
        <v>67</v>
      </c>
      <c r="N1" s="24"/>
      <c r="O1" s="24"/>
      <c r="U1" s="23" t="s">
        <v>68</v>
      </c>
      <c r="V1" s="23"/>
      <c r="W1" s="23"/>
      <c r="AA1" s="24"/>
      <c r="AB1" s="23" t="s">
        <v>69</v>
      </c>
      <c r="AE1" s="23"/>
      <c r="AH1" s="23" t="s">
        <v>70</v>
      </c>
      <c r="AK1" s="23"/>
      <c r="AN1" s="23" t="s">
        <v>71</v>
      </c>
    </row>
    <row r="2" spans="1:45">
      <c r="A2" s="6" t="s">
        <v>72</v>
      </c>
      <c r="B2" s="17">
        <v>0</v>
      </c>
      <c r="C2" s="17">
        <v>90</v>
      </c>
      <c r="D2" s="17">
        <v>45</v>
      </c>
      <c r="E2" s="17">
        <v>-45</v>
      </c>
      <c r="F2" s="7"/>
      <c r="G2" s="25" t="s">
        <v>73</v>
      </c>
      <c r="H2" s="25" t="s">
        <v>74</v>
      </c>
      <c r="J2" s="26" t="s">
        <v>75</v>
      </c>
      <c r="K2" s="26" t="s">
        <v>76</v>
      </c>
      <c r="L2" s="26" t="s">
        <v>77</v>
      </c>
      <c r="M2" s="27" t="s">
        <v>78</v>
      </c>
      <c r="N2" s="24"/>
      <c r="O2" s="24"/>
      <c r="S2" s="28"/>
      <c r="U2" s="29" t="s">
        <v>79</v>
      </c>
      <c r="V2" s="30">
        <f t="shared" ref="V2:Y4" si="0">N4</f>
        <v>0</v>
      </c>
      <c r="W2" s="30">
        <f t="shared" si="0"/>
        <v>90</v>
      </c>
      <c r="X2" s="30">
        <f t="shared" si="0"/>
        <v>45</v>
      </c>
      <c r="Y2" s="30">
        <f t="shared" si="0"/>
        <v>-45</v>
      </c>
      <c r="Z2" s="29" t="s">
        <v>80</v>
      </c>
      <c r="AB2" s="29" t="s">
        <v>79</v>
      </c>
      <c r="AC2" s="30">
        <f t="shared" ref="AC2:AF4" si="1">V2</f>
        <v>0</v>
      </c>
      <c r="AD2" s="30">
        <f t="shared" si="1"/>
        <v>90</v>
      </c>
      <c r="AE2" s="30">
        <f t="shared" si="1"/>
        <v>45</v>
      </c>
      <c r="AF2" s="30">
        <f t="shared" si="1"/>
        <v>-45</v>
      </c>
      <c r="AH2" s="29" t="s">
        <v>79</v>
      </c>
      <c r="AI2" s="30">
        <f t="shared" ref="AI2:AL3" si="2">V2</f>
        <v>0</v>
      </c>
      <c r="AJ2" s="30">
        <f t="shared" si="2"/>
        <v>90</v>
      </c>
      <c r="AK2" s="30">
        <f t="shared" si="2"/>
        <v>45</v>
      </c>
      <c r="AL2" s="30">
        <f t="shared" si="2"/>
        <v>-45</v>
      </c>
      <c r="AN2" s="29" t="s">
        <v>79</v>
      </c>
      <c r="AO2" s="31">
        <f t="shared" ref="AO2:AR3" si="3">V2</f>
        <v>0</v>
      </c>
      <c r="AP2" s="31">
        <f t="shared" si="3"/>
        <v>90</v>
      </c>
      <c r="AQ2" s="31">
        <f t="shared" si="3"/>
        <v>45</v>
      </c>
      <c r="AR2" s="31">
        <f t="shared" si="3"/>
        <v>-45</v>
      </c>
    </row>
    <row r="3" spans="1:45">
      <c r="A3" s="6" t="s">
        <v>81</v>
      </c>
      <c r="B3" s="17">
        <v>3</v>
      </c>
      <c r="C3" s="17">
        <v>3</v>
      </c>
      <c r="D3" s="17">
        <v>2</v>
      </c>
      <c r="E3" s="17">
        <v>2</v>
      </c>
      <c r="F3" s="7"/>
      <c r="G3" s="25" t="s">
        <v>82</v>
      </c>
      <c r="H3" s="32">
        <f>$B$20</f>
        <v>38.6</v>
      </c>
      <c r="I3" s="22" t="s">
        <v>83</v>
      </c>
      <c r="J3" s="32"/>
      <c r="K3" s="32"/>
      <c r="L3" s="32"/>
      <c r="M3" s="29" t="s">
        <v>84</v>
      </c>
      <c r="N3" s="28" t="s">
        <v>85</v>
      </c>
      <c r="O3" s="28" t="s">
        <v>86</v>
      </c>
      <c r="P3" s="28" t="s">
        <v>87</v>
      </c>
      <c r="Q3" s="28" t="s">
        <v>88</v>
      </c>
      <c r="R3" s="28"/>
      <c r="S3" s="28"/>
      <c r="U3" s="29" t="s">
        <v>89</v>
      </c>
      <c r="V3" s="30">
        <f t="shared" si="0"/>
        <v>3</v>
      </c>
      <c r="W3" s="30">
        <f t="shared" si="0"/>
        <v>3</v>
      </c>
      <c r="X3" s="30">
        <f t="shared" si="0"/>
        <v>2</v>
      </c>
      <c r="Y3" s="30">
        <f t="shared" si="0"/>
        <v>2</v>
      </c>
      <c r="Z3" s="29">
        <f>R5</f>
        <v>1</v>
      </c>
      <c r="AB3" s="29" t="s">
        <v>89</v>
      </c>
      <c r="AC3" s="30">
        <f t="shared" si="1"/>
        <v>3</v>
      </c>
      <c r="AD3" s="30">
        <f t="shared" si="1"/>
        <v>3</v>
      </c>
      <c r="AE3" s="30">
        <f t="shared" si="1"/>
        <v>2</v>
      </c>
      <c r="AF3" s="30">
        <f t="shared" si="1"/>
        <v>2</v>
      </c>
      <c r="AH3" s="29" t="s">
        <v>89</v>
      </c>
      <c r="AI3" s="30">
        <f t="shared" si="2"/>
        <v>3</v>
      </c>
      <c r="AJ3" s="30">
        <f t="shared" si="2"/>
        <v>3</v>
      </c>
      <c r="AK3" s="30">
        <f t="shared" si="2"/>
        <v>2</v>
      </c>
      <c r="AL3" s="30">
        <f t="shared" si="2"/>
        <v>2</v>
      </c>
      <c r="AN3" s="29" t="s">
        <v>89</v>
      </c>
      <c r="AO3" s="31">
        <f t="shared" si="3"/>
        <v>3</v>
      </c>
      <c r="AP3" s="31">
        <f t="shared" si="3"/>
        <v>3</v>
      </c>
      <c r="AQ3" s="31">
        <f t="shared" si="3"/>
        <v>2</v>
      </c>
      <c r="AR3" s="31">
        <f t="shared" si="3"/>
        <v>2</v>
      </c>
    </row>
    <row r="4" spans="1:45">
      <c r="A4" s="9" t="s">
        <v>90</v>
      </c>
      <c r="B4" s="6" t="s">
        <v>91</v>
      </c>
      <c r="C4" s="6" t="s">
        <v>92</v>
      </c>
      <c r="D4" s="6" t="s">
        <v>93</v>
      </c>
      <c r="E4" s="6" t="s">
        <v>94</v>
      </c>
      <c r="F4" s="6" t="s">
        <v>95</v>
      </c>
      <c r="G4" s="25" t="s">
        <v>96</v>
      </c>
      <c r="H4" s="32">
        <f>$C$20</f>
        <v>8.27</v>
      </c>
      <c r="I4" s="25" t="s">
        <v>97</v>
      </c>
      <c r="J4" s="33">
        <f>$A$21</f>
        <v>1062</v>
      </c>
      <c r="K4" s="33">
        <f>$A$21</f>
        <v>1062</v>
      </c>
      <c r="L4" s="34">
        <v>10000000</v>
      </c>
      <c r="M4" s="29" t="s">
        <v>98</v>
      </c>
      <c r="N4" s="35">
        <f>B2+$A$5</f>
        <v>0</v>
      </c>
      <c r="O4" s="35">
        <f>C2+$A$5</f>
        <v>90</v>
      </c>
      <c r="P4" s="35">
        <f>D2+$A$5</f>
        <v>45</v>
      </c>
      <c r="Q4" s="35">
        <f>E2+$A$5</f>
        <v>-45</v>
      </c>
      <c r="R4" s="28" t="s">
        <v>80</v>
      </c>
      <c r="S4" s="23"/>
      <c r="U4" s="29" t="s">
        <v>99</v>
      </c>
      <c r="V4" s="36">
        <f t="shared" si="0"/>
        <v>0</v>
      </c>
      <c r="W4" s="36">
        <f t="shared" si="0"/>
        <v>3.1415926535897931</v>
      </c>
      <c r="X4" s="36">
        <f t="shared" si="0"/>
        <v>1.5707963267948966</v>
      </c>
      <c r="Y4" s="36">
        <f t="shared" si="0"/>
        <v>-1.5707963267948966</v>
      </c>
      <c r="Z4" s="29" t="s">
        <v>100</v>
      </c>
      <c r="AA4" s="24">
        <f>$R$12</f>
        <v>2.5000000000000001E-3</v>
      </c>
      <c r="AB4" s="29" t="s">
        <v>99</v>
      </c>
      <c r="AC4" s="37">
        <f t="shared" si="1"/>
        <v>0</v>
      </c>
      <c r="AD4" s="37">
        <f t="shared" si="1"/>
        <v>3.1415926535897931</v>
      </c>
      <c r="AE4" s="37">
        <f t="shared" si="1"/>
        <v>1.5707963267948966</v>
      </c>
      <c r="AF4" s="37">
        <f t="shared" si="1"/>
        <v>-1.5707963267948966</v>
      </c>
      <c r="AH4" s="29" t="s">
        <v>99</v>
      </c>
      <c r="AI4" s="37">
        <f>AC4</f>
        <v>0</v>
      </c>
      <c r="AJ4" s="37">
        <f>AD4</f>
        <v>3.1415926535897931</v>
      </c>
      <c r="AK4" s="37">
        <f>AE4</f>
        <v>1.5707963267948966</v>
      </c>
      <c r="AL4" s="37">
        <f>AF4</f>
        <v>-1.5707963267948966</v>
      </c>
      <c r="AN4" s="29" t="s">
        <v>99</v>
      </c>
      <c r="AO4" s="31">
        <f>AI4</f>
        <v>0</v>
      </c>
      <c r="AP4" s="31">
        <f>AJ4</f>
        <v>3.1415926535897931</v>
      </c>
      <c r="AQ4" s="31">
        <f>AK4</f>
        <v>1.5707963267948966</v>
      </c>
      <c r="AR4" s="31">
        <f>AL4</f>
        <v>-1.5707963267948966</v>
      </c>
    </row>
    <row r="5" spans="1:45">
      <c r="A5" s="17">
        <v>0</v>
      </c>
      <c r="B5" s="10">
        <f>AG14</f>
        <v>13.639352304723364</v>
      </c>
      <c r="C5" s="10">
        <f>1/B5</f>
        <v>7.3317264460842163E-2</v>
      </c>
      <c r="D5" s="18">
        <v>1</v>
      </c>
      <c r="E5" s="11">
        <f>2*SUM(B3:E3)*D5</f>
        <v>20</v>
      </c>
      <c r="F5" s="10">
        <f>E5*H7</f>
        <v>2.5</v>
      </c>
      <c r="G5" s="25" t="s">
        <v>101</v>
      </c>
      <c r="H5" s="32">
        <f>$D$20</f>
        <v>0.26</v>
      </c>
      <c r="I5" s="25" t="s">
        <v>102</v>
      </c>
      <c r="J5" s="33">
        <f>$B$21</f>
        <v>610</v>
      </c>
      <c r="K5" s="33">
        <f>$B$21</f>
        <v>610</v>
      </c>
      <c r="L5" s="34">
        <v>10000000</v>
      </c>
      <c r="M5" s="29" t="s">
        <v>103</v>
      </c>
      <c r="N5" s="35">
        <f>$B$3</f>
        <v>3</v>
      </c>
      <c r="O5" s="35">
        <f>$C$3</f>
        <v>3</v>
      </c>
      <c r="P5" s="35">
        <f>$D$3</f>
        <v>2</v>
      </c>
      <c r="Q5" s="35">
        <f>$E$3</f>
        <v>2</v>
      </c>
      <c r="R5" s="30">
        <f>D5</f>
        <v>1</v>
      </c>
      <c r="S5" s="23"/>
      <c r="U5" s="29" t="s">
        <v>104</v>
      </c>
      <c r="V5" s="38">
        <f>N9*$R$12/2</f>
        <v>1.25E-3</v>
      </c>
      <c r="W5" s="38">
        <f>O9*$R$12/2</f>
        <v>8.7499999999999991E-4</v>
      </c>
      <c r="X5" s="38">
        <f>P9*$R$12/2</f>
        <v>5.0000000000000001E-4</v>
      </c>
      <c r="Y5" s="38">
        <f>Q9*$R$12/2</f>
        <v>2.4999999999999995E-4</v>
      </c>
      <c r="Z5" s="28" t="s">
        <v>105</v>
      </c>
      <c r="AA5" s="24">
        <f>AA4^2/6</f>
        <v>1.0416666666666667E-6</v>
      </c>
      <c r="AE5" s="23"/>
      <c r="AH5" s="29" t="s">
        <v>106</v>
      </c>
      <c r="AI5" s="23">
        <v>0</v>
      </c>
      <c r="AK5" s="23"/>
      <c r="AN5" s="29" t="s">
        <v>107</v>
      </c>
      <c r="AO5" s="23" t="s">
        <v>108</v>
      </c>
    </row>
    <row r="6" spans="1:45">
      <c r="A6" s="7"/>
      <c r="B6" s="12" t="s">
        <v>109</v>
      </c>
      <c r="C6" s="6" t="s">
        <v>110</v>
      </c>
      <c r="D6" s="53" t="s">
        <v>111</v>
      </c>
      <c r="E6" s="6" t="s">
        <v>112</v>
      </c>
      <c r="F6" s="8" t="s">
        <v>113</v>
      </c>
      <c r="G6" s="25" t="s">
        <v>114</v>
      </c>
      <c r="H6" s="32">
        <f>$E$20</f>
        <v>4.1399999999999997</v>
      </c>
      <c r="I6" s="25" t="s">
        <v>115</v>
      </c>
      <c r="J6" s="33">
        <f>$C$21</f>
        <v>31</v>
      </c>
      <c r="K6" s="33">
        <f>$C$21</f>
        <v>31</v>
      </c>
      <c r="L6" s="33">
        <f>$C$21</f>
        <v>31</v>
      </c>
      <c r="M6" s="29" t="s">
        <v>116</v>
      </c>
      <c r="N6" s="36">
        <f>N4*PI()/90</f>
        <v>0</v>
      </c>
      <c r="O6" s="36">
        <f>O4*PI()/90</f>
        <v>3.1415926535897931</v>
      </c>
      <c r="P6" s="36">
        <f>P4*PI()/90</f>
        <v>1.5707963267948966</v>
      </c>
      <c r="Q6" s="36">
        <f>Q4*PI()/90</f>
        <v>-1.5707963267948966</v>
      </c>
      <c r="R6" s="28" t="s">
        <v>117</v>
      </c>
      <c r="S6" s="39" t="s">
        <v>118</v>
      </c>
      <c r="U6" s="27" t="s">
        <v>119</v>
      </c>
      <c r="V6" s="28"/>
      <c r="W6" s="28"/>
      <c r="X6" s="24"/>
      <c r="Y6" s="24"/>
      <c r="Z6" s="24"/>
      <c r="AA6" s="24"/>
      <c r="AB6" s="29" t="s">
        <v>120</v>
      </c>
      <c r="AC6" s="40">
        <f>($J$17*V20^2+2*$J$19*V20*V21+$J$18*V21^2+$J$20*V22^2)/1000000</f>
        <v>1.6632211845922133E-4</v>
      </c>
      <c r="AD6" s="40">
        <f>($J$17*W20^2+2*$J$19*W20*W21+$J$18*W21^2+$J$20*W22^2)/1000000</f>
        <v>1.426034810670369E-3</v>
      </c>
      <c r="AE6" s="40">
        <f>($J$17*X20^2+2*$J$19*X20*X21+$J$18*X21^2+$J$20*X22^2)/1000000</f>
        <v>6.7339310864253344E-4</v>
      </c>
      <c r="AF6" s="40">
        <f>($J$17*Y20^2+2*$J$19*Y20*Y21+$J$18*Y21^2+$J$20*Y22^2)/1000000</f>
        <v>6.7339310864253344E-4</v>
      </c>
      <c r="AG6" s="40"/>
      <c r="AH6" s="29" t="s">
        <v>120</v>
      </c>
      <c r="AI6" s="40">
        <f>($K$17*V20^2+2*$K$19*V20*V21+$K$18*V21^2+$K$20*V22^2)/1000000</f>
        <v>1.8227321579584939E-4</v>
      </c>
      <c r="AJ6" s="40">
        <f>($K$17*W20^2+2*$K$19*W20*W21+$K$18*W21^2+$K$20*W22^2)/1000000</f>
        <v>1.3395804960108404E-3</v>
      </c>
      <c r="AK6" s="40">
        <f>($K$17*X20^2+2*$K$19*X20*X21+$K$18*X21^2+$K$20*X22^2)/1000000</f>
        <v>7.7786397664064819E-4</v>
      </c>
      <c r="AL6" s="40">
        <f>($K$17*Y20^2+2*$K$19*Y20*Y21+$K$18*Y21^2+$K$20*Y22^2)/1000000</f>
        <v>7.7786397664064797E-4</v>
      </c>
      <c r="AM6" s="40"/>
      <c r="AN6" s="29" t="s">
        <v>120</v>
      </c>
      <c r="AO6" s="40">
        <f>($L$17*V20^2+2*$L$19*V20*V21+$L$18*V21^2+$L$20*V22^2)/1000000</f>
        <v>1.4067712624634653E-6</v>
      </c>
      <c r="AP6" s="40">
        <f>($L$17*W20^2+2*$L$19*W20*W21+$L$18*W21^2+$L$20*W22^2)/1000000</f>
        <v>1.3339774413840115E-3</v>
      </c>
      <c r="AQ6" s="40">
        <f>($L$17*X20^2+2*$L$19*X20*X21+$L$18*X21^2+$L$20*X22^2)/1000000</f>
        <v>7.4716360980498755E-4</v>
      </c>
      <c r="AR6" s="40">
        <f>($L$17*Y20^2+2*$L$19*Y20*Y21+$L$18*Y21^2+$L$20*Y22^2)/1000000</f>
        <v>7.4716360980498734E-4</v>
      </c>
      <c r="AS6" s="40"/>
    </row>
    <row r="7" spans="1:45">
      <c r="A7" s="13">
        <v>1</v>
      </c>
      <c r="B7" s="14">
        <f>R23</f>
        <v>20.004058454151696</v>
      </c>
      <c r="C7" s="10">
        <f>R25</f>
        <v>0.22946330589585393</v>
      </c>
      <c r="D7" s="19">
        <v>1.4E-2</v>
      </c>
      <c r="E7" s="11">
        <f>D7/$F$5*1000</f>
        <v>5.6</v>
      </c>
      <c r="F7" s="15">
        <f>X8</f>
        <v>0.27994319316927213</v>
      </c>
      <c r="G7" s="20" t="s">
        <v>121</v>
      </c>
      <c r="H7" s="41">
        <f>$B$22</f>
        <v>0.125</v>
      </c>
      <c r="I7" s="25" t="s">
        <v>122</v>
      </c>
      <c r="J7" s="33">
        <f>$D$21</f>
        <v>118</v>
      </c>
      <c r="K7" s="33">
        <f>$D$21</f>
        <v>118</v>
      </c>
      <c r="L7" s="33">
        <f>$D$21</f>
        <v>118</v>
      </c>
      <c r="M7" s="29" t="s">
        <v>123</v>
      </c>
      <c r="N7" s="36">
        <f>2*N6</f>
        <v>0</v>
      </c>
      <c r="O7" s="36">
        <f>2*O6</f>
        <v>6.2831853071795862</v>
      </c>
      <c r="P7" s="36">
        <f>2*P6</f>
        <v>3.1415926535897931</v>
      </c>
      <c r="Q7" s="36">
        <f>2*Q6</f>
        <v>-3.1415926535897931</v>
      </c>
      <c r="R7" s="30">
        <f>(N5+O5+P5+Q5)</f>
        <v>10</v>
      </c>
      <c r="S7" s="31">
        <f>R7*R5+S5</f>
        <v>10</v>
      </c>
      <c r="U7" s="29"/>
      <c r="V7" s="28" t="s">
        <v>124</v>
      </c>
      <c r="W7" s="23"/>
      <c r="X7" s="42" t="s">
        <v>125</v>
      </c>
      <c r="Z7" s="28" t="s">
        <v>126</v>
      </c>
      <c r="AA7" s="43" t="s">
        <v>127</v>
      </c>
      <c r="AB7" s="29" t="s">
        <v>128</v>
      </c>
      <c r="AC7" s="40">
        <f>($J$21*V20+$J$22*V21)/1000</f>
        <v>-5.8463741672365567E-3</v>
      </c>
      <c r="AD7" s="40">
        <f>($J$21*W20+$J$22*W21)/1000</f>
        <v>5.3867073279309528E-2</v>
      </c>
      <c r="AE7" s="40">
        <f>($J$21*X20+$J$22*X21)/1000</f>
        <v>2.4010349556036488E-2</v>
      </c>
      <c r="AF7" s="40">
        <f>($J$21*Y20+$J$22*Y21)/1000</f>
        <v>2.4010349556036484E-2</v>
      </c>
      <c r="AG7" s="40"/>
      <c r="AH7" s="29" t="s">
        <v>128</v>
      </c>
      <c r="AI7" s="40">
        <f>($J$21*V20+$J$22*V21)/1000</f>
        <v>-5.8463741672365567E-3</v>
      </c>
      <c r="AJ7" s="40">
        <f>($J$21*W20+$J$22*W21)/1000</f>
        <v>5.3867073279309528E-2</v>
      </c>
      <c r="AK7" s="40">
        <f>($J$21*X20+$J$22*X21)/1000</f>
        <v>2.4010349556036488E-2</v>
      </c>
      <c r="AL7" s="40">
        <f>($J$21*Y20+$J$22*Y21)/1000</f>
        <v>2.4010349556036484E-2</v>
      </c>
      <c r="AM7" s="40"/>
      <c r="AN7" s="29" t="s">
        <v>128</v>
      </c>
      <c r="AO7" s="40">
        <f>($L$21*V20+$L$22*V21)/1000</f>
        <v>1.7061176081391949E-3</v>
      </c>
      <c r="AP7" s="40">
        <f>($L$21*W20+$L$22*W21)/1000</f>
        <v>5.2537771185996646E-2</v>
      </c>
      <c r="AQ7" s="40">
        <f>($L$21*X20+$L$22*X21)/1000</f>
        <v>2.7121944397067922E-2</v>
      </c>
      <c r="AR7" s="40">
        <f>($L$21*Y20+$L$22*Y21)/1000</f>
        <v>2.7121944397067915E-2</v>
      </c>
      <c r="AS7" s="40"/>
    </row>
    <row r="8" spans="1:45">
      <c r="A8" s="13">
        <v>2</v>
      </c>
      <c r="B8" s="14">
        <f>R24</f>
        <v>20.004058454151696</v>
      </c>
      <c r="C8" s="10">
        <f>R27</f>
        <v>-3.5317722972539401E-17</v>
      </c>
      <c r="D8" s="19">
        <v>0</v>
      </c>
      <c r="E8" s="11">
        <f>D8/$F$5*1000</f>
        <v>0</v>
      </c>
      <c r="F8" s="15">
        <f>X9</f>
        <v>-6.4236690567662819E-2</v>
      </c>
      <c r="G8" s="25" t="s">
        <v>129</v>
      </c>
      <c r="H8" s="32">
        <f>$C$22</f>
        <v>0.45</v>
      </c>
      <c r="I8" s="25" t="s">
        <v>130</v>
      </c>
      <c r="J8" s="44">
        <f>$E$21</f>
        <v>72</v>
      </c>
      <c r="K8" s="44">
        <f>$E$21</f>
        <v>72</v>
      </c>
      <c r="L8" s="44">
        <f>$E$21</f>
        <v>72</v>
      </c>
      <c r="N8" s="38"/>
      <c r="O8" s="38"/>
      <c r="P8" s="38"/>
      <c r="Q8" s="38"/>
      <c r="R8" s="28" t="s">
        <v>131</v>
      </c>
      <c r="S8" s="28"/>
      <c r="U8" s="29">
        <v>1</v>
      </c>
      <c r="V8" s="45">
        <f>D7</f>
        <v>1.4E-2</v>
      </c>
      <c r="W8" s="23"/>
      <c r="X8" s="40">
        <f>V8*N23+N25*V9+V10*N27</f>
        <v>0.27994319316927213</v>
      </c>
      <c r="Z8" s="39" t="s">
        <v>132</v>
      </c>
      <c r="AA8" s="40">
        <f>(X8+X9)/2</f>
        <v>0.10785325130080466</v>
      </c>
      <c r="AB8" s="29" t="s">
        <v>133</v>
      </c>
      <c r="AC8" s="40">
        <f>AC7/2/AC6</f>
        <v>-17.575456052978197</v>
      </c>
      <c r="AD8" s="40">
        <f>AD7/2/AD6</f>
        <v>18.887012040746395</v>
      </c>
      <c r="AE8" s="40">
        <f>AE7/2/AE6</f>
        <v>17.827884817857733</v>
      </c>
      <c r="AF8" s="40">
        <f>AF7/2/AF6</f>
        <v>17.827884817857729</v>
      </c>
      <c r="AG8" s="40"/>
      <c r="AH8" s="37" t="s">
        <v>133</v>
      </c>
      <c r="AI8" s="40">
        <f>AI7/2/AI6</f>
        <v>-16.037392388425964</v>
      </c>
      <c r="AJ8" s="40">
        <f>AJ7/2/AJ6</f>
        <v>20.105948630829278</v>
      </c>
      <c r="AK8" s="40">
        <f>AK7/2/AK6</f>
        <v>15.433514262821179</v>
      </c>
      <c r="AL8" s="40">
        <f>AL7/2/AL6</f>
        <v>15.433514262821181</v>
      </c>
      <c r="AM8" s="40"/>
      <c r="AN8" s="37" t="s">
        <v>133</v>
      </c>
      <c r="AO8" s="40">
        <f>AO7/2/AO6</f>
        <v>606.39481828464773</v>
      </c>
      <c r="AP8" s="40">
        <f>AP7/2/AP6</f>
        <v>19.692151289863013</v>
      </c>
      <c r="AQ8" s="40">
        <f>AQ7/2/AQ6</f>
        <v>18.149936667918588</v>
      </c>
      <c r="AR8" s="40">
        <f>AR7/2/AR6</f>
        <v>18.149936667918592</v>
      </c>
      <c r="AS8" s="40"/>
    </row>
    <row r="9" spans="1:45">
      <c r="A9" s="13">
        <v>6</v>
      </c>
      <c r="B9" s="14">
        <f>R26</f>
        <v>6.803520533505103</v>
      </c>
      <c r="C9" s="10">
        <f>R28</f>
        <v>-1.155690260098577E-16</v>
      </c>
      <c r="D9" s="19">
        <v>0</v>
      </c>
      <c r="E9" s="11">
        <f>D9/$F$5*1000</f>
        <v>0</v>
      </c>
      <c r="F9" s="15">
        <f>X10</f>
        <v>-3.2352762172662229E-17</v>
      </c>
      <c r="G9" s="22" t="s">
        <v>134</v>
      </c>
      <c r="I9" s="25" t="s">
        <v>135</v>
      </c>
      <c r="J9" s="46">
        <f>$A$22</f>
        <v>-0.5</v>
      </c>
      <c r="K9" s="46">
        <v>0</v>
      </c>
      <c r="L9" s="46">
        <v>0</v>
      </c>
      <c r="M9" s="29" t="s">
        <v>136</v>
      </c>
      <c r="N9" s="38">
        <v>1</v>
      </c>
      <c r="O9" s="38">
        <f>N10</f>
        <v>0.7</v>
      </c>
      <c r="P9" s="38">
        <f>O10</f>
        <v>0.39999999999999997</v>
      </c>
      <c r="Q9" s="38">
        <f>P10</f>
        <v>0.19999999999999996</v>
      </c>
      <c r="R9" s="47">
        <f>R7*H7/1000000</f>
        <v>1.2500000000000001E-6</v>
      </c>
      <c r="S9" s="23"/>
      <c r="U9" s="29">
        <v>2</v>
      </c>
      <c r="V9" s="45">
        <f>D8</f>
        <v>0</v>
      </c>
      <c r="W9" s="23"/>
      <c r="X9" s="40">
        <f>V8*N25+N24*V9+V10*N28</f>
        <v>-6.4236690567662819E-2</v>
      </c>
      <c r="Z9" s="39" t="s">
        <v>137</v>
      </c>
      <c r="AA9" s="40">
        <f>(X8-X9)/2</f>
        <v>0.17208994186846749</v>
      </c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1:45">
      <c r="G10" s="25" t="s">
        <v>138</v>
      </c>
      <c r="H10" s="32">
        <f>H3/(1-H5^2*H4/H3)</f>
        <v>39.167267860937642</v>
      </c>
      <c r="I10" s="22" t="s">
        <v>139</v>
      </c>
      <c r="M10" s="29" t="s">
        <v>140</v>
      </c>
      <c r="N10" s="38">
        <f>N9-N5/$S$7</f>
        <v>0.7</v>
      </c>
      <c r="O10" s="38">
        <f>O9-O5/$S$7</f>
        <v>0.39999999999999997</v>
      </c>
      <c r="P10" s="38">
        <f>P9-P5/$S$7</f>
        <v>0.19999999999999996</v>
      </c>
      <c r="Q10" s="38">
        <f>Q9-Q5/$S$7</f>
        <v>0</v>
      </c>
      <c r="S10" s="23"/>
      <c r="U10" s="29">
        <v>6</v>
      </c>
      <c r="V10" s="45">
        <f>D9</f>
        <v>0</v>
      </c>
      <c r="W10" s="23"/>
      <c r="X10" s="40">
        <f>V8*N28+N27*V9+V10*N26</f>
        <v>-3.2352762172662229E-17</v>
      </c>
      <c r="Z10" s="39" t="s">
        <v>141</v>
      </c>
      <c r="AA10" s="40">
        <f>X10/2</f>
        <v>-1.6176381086331114E-17</v>
      </c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</row>
    <row r="11" spans="1:45">
      <c r="A11" s="4" t="s">
        <v>142</v>
      </c>
      <c r="B11" s="4" t="s">
        <v>75</v>
      </c>
      <c r="C11" s="4" t="s">
        <v>76</v>
      </c>
      <c r="D11" s="4" t="s">
        <v>77</v>
      </c>
      <c r="E11" s="4" t="s">
        <v>143</v>
      </c>
      <c r="F11" s="4" t="s">
        <v>144</v>
      </c>
      <c r="G11" s="25" t="s">
        <v>145</v>
      </c>
      <c r="H11" s="32">
        <f>H10*H4/H3</f>
        <v>8.3915364044029594</v>
      </c>
      <c r="I11" s="25" t="s">
        <v>146</v>
      </c>
      <c r="J11" s="32">
        <f>1/J4/J5*1000000</f>
        <v>1.5436386650612823</v>
      </c>
      <c r="K11" s="32">
        <f>1/K4/K5*1000000</f>
        <v>1.5436386650612823</v>
      </c>
      <c r="L11" s="32">
        <f>1/L4/L5*1000000</f>
        <v>1E-8</v>
      </c>
      <c r="M11" s="29" t="s">
        <v>147</v>
      </c>
      <c r="N11" s="38">
        <f>N9-N10</f>
        <v>0.30000000000000004</v>
      </c>
      <c r="O11" s="38">
        <f>O9-O10</f>
        <v>0.3</v>
      </c>
      <c r="P11" s="38">
        <f>P9-P10</f>
        <v>0.2</v>
      </c>
      <c r="Q11" s="38">
        <f>Q9-Q10</f>
        <v>0.19999999999999996</v>
      </c>
      <c r="R11" s="28" t="s">
        <v>100</v>
      </c>
      <c r="S11" s="23"/>
      <c r="V11" s="48"/>
      <c r="W11" s="48"/>
      <c r="X11" s="48"/>
      <c r="Y11" s="48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</row>
    <row r="12" spans="1:45">
      <c r="A12" s="4" t="s">
        <v>91</v>
      </c>
      <c r="B12" s="5">
        <f>AG14</f>
        <v>13.639352304723364</v>
      </c>
      <c r="C12" s="5">
        <f>AM14</f>
        <v>13.816780166982401</v>
      </c>
      <c r="D12" s="5">
        <f>AR18</f>
        <v>14.033487126411679</v>
      </c>
      <c r="E12" s="5">
        <f>AG31</f>
        <v>14.033487126491124</v>
      </c>
      <c r="F12" s="5">
        <f>AG24</f>
        <v>13.390175593338718</v>
      </c>
      <c r="G12" s="25" t="s">
        <v>148</v>
      </c>
      <c r="H12" s="32">
        <f>H11*H5</f>
        <v>2.1817994651447696</v>
      </c>
      <c r="I12" s="25" t="s">
        <v>149</v>
      </c>
      <c r="J12" s="32">
        <f>1/J6/J7*1000000</f>
        <v>273.37342810278841</v>
      </c>
      <c r="K12" s="32">
        <f>1/K6/K7*1000000</f>
        <v>273.37342810278841</v>
      </c>
      <c r="L12" s="32">
        <f>1/L6/L7*1000000</f>
        <v>273.37342810278841</v>
      </c>
      <c r="M12" s="23" t="s">
        <v>150</v>
      </c>
      <c r="R12" s="49">
        <f>F5/1000</f>
        <v>2.5000000000000001E-3</v>
      </c>
      <c r="S12" s="23"/>
      <c r="U12" s="27" t="s">
        <v>151</v>
      </c>
      <c r="V12" s="48"/>
      <c r="W12" s="48"/>
      <c r="X12" s="48"/>
      <c r="Y12" s="48"/>
      <c r="AB12" s="29" t="s">
        <v>152</v>
      </c>
      <c r="AC12" s="40">
        <f>IF(AC3=0,1000000,((AC8^2+1/AC6)^0.5-AC8))</f>
        <v>97.082223602455372</v>
      </c>
      <c r="AD12" s="40">
        <f>IF(AD3=0,1000000,((AD8^2+1/AD6)^0.5-AD8))</f>
        <v>13.639352304723364</v>
      </c>
      <c r="AE12" s="40">
        <f>IF(AE3=0,1000000,((AE8^2+1/AE6)^0.5-AE8))</f>
        <v>24.632098216288352</v>
      </c>
      <c r="AF12" s="40">
        <f>IF(AF3=0,1000000,((AF8^2+1/AF6)^0.5-AF8))</f>
        <v>24.632098216288355</v>
      </c>
      <c r="AG12" s="40" t="s">
        <v>75</v>
      </c>
      <c r="AH12" s="37" t="s">
        <v>152</v>
      </c>
      <c r="AI12" s="40">
        <f>IF(AI3=0,100000,((AI8^2+1/AI6)^0.5-AI8))</f>
        <v>91.823060820690074</v>
      </c>
      <c r="AJ12" s="40">
        <f>IF(AJ3=0,100000,((AJ8^2+1/AJ6)^0.5-AJ8))</f>
        <v>13.816780166982401</v>
      </c>
      <c r="AK12" s="40">
        <f>IF(AK3=0,100000,((AK8^2+1/AK6)^0.5-AK8))</f>
        <v>23.601920562570619</v>
      </c>
      <c r="AL12" s="40">
        <f>IF(AL3=0,100000,((AL8^2+1/AL6)^0.5-AL8))</f>
        <v>23.601920562570616</v>
      </c>
      <c r="AM12" s="40" t="s">
        <v>76</v>
      </c>
      <c r="AN12" s="37" t="s">
        <v>152</v>
      </c>
      <c r="AO12" s="40">
        <f>IF(AO3=0,1000000,((AO8^2+1/AO6)^0.5-AO8))</f>
        <v>432.1437187646975</v>
      </c>
      <c r="AP12" s="40">
        <f>IF(AP3=0,1000000,((AP8^2+1/AP6)^0.5-AP8))</f>
        <v>14.033487126411679</v>
      </c>
      <c r="AQ12" s="40">
        <f>IF(AQ3=0,1000000,((AQ8^2+1/AQ6)^0.5-AQ8))</f>
        <v>22.688955923858423</v>
      </c>
      <c r="AR12" s="40">
        <f>IF(AR3=0,1000000,((AR8^2+1/AR6)^0.5-AR8))</f>
        <v>22.688955923858426</v>
      </c>
      <c r="AS12" s="40"/>
    </row>
    <row r="13" spans="1:45">
      <c r="A13" s="4" t="s">
        <v>153</v>
      </c>
      <c r="B13" s="5">
        <f>B12/$B$12</f>
        <v>1</v>
      </c>
      <c r="C13" s="5">
        <f>C12/$B$12</f>
        <v>1.0130085254999677</v>
      </c>
      <c r="D13" s="5">
        <f>D12/$B$12</f>
        <v>1.0288968869549491</v>
      </c>
      <c r="E13" s="5">
        <f>E12/$B$12</f>
        <v>1.0288968869607737</v>
      </c>
      <c r="F13" s="5">
        <f>F12/$B$12</f>
        <v>0.98173104515392895</v>
      </c>
      <c r="G13" s="25" t="s">
        <v>154</v>
      </c>
      <c r="H13" s="32">
        <f>H6</f>
        <v>4.1399999999999997</v>
      </c>
      <c r="I13" s="25" t="s">
        <v>155</v>
      </c>
      <c r="J13" s="32">
        <f>J9*(J11*J12)^0.5</f>
        <v>-10.271195081632598</v>
      </c>
      <c r="K13" s="32">
        <f>K9*(K11*K12)^0.5</f>
        <v>0</v>
      </c>
      <c r="L13" s="32">
        <f>L9*(L11*L12)^0.5</f>
        <v>0</v>
      </c>
      <c r="U13" s="29" t="s">
        <v>156</v>
      </c>
      <c r="V13" s="40">
        <f>$AA$8+$AA$9*COS(V4)+$AA$10*SIN(V4)</f>
        <v>0.27994319316927213</v>
      </c>
      <c r="W13" s="40">
        <f>$AA$8+$AA$9*COS(W4)+$AA$10*SIN(W4)</f>
        <v>-6.4236690567662832E-2</v>
      </c>
      <c r="X13" s="40">
        <f>$AA$8+$AA$9*COS(X4)+$AA$10*SIN(X4)</f>
        <v>0.10785325130080466</v>
      </c>
      <c r="Y13" s="40">
        <f>$AA$8+$AA$9*COS(Y4)+$AA$10*SIN(Y4)</f>
        <v>0.10785325130080468</v>
      </c>
      <c r="AC13" s="40"/>
      <c r="AD13" s="40"/>
      <c r="AE13" s="40"/>
      <c r="AF13" s="40"/>
      <c r="AG13" s="50" t="s">
        <v>157</v>
      </c>
      <c r="AH13" s="40"/>
      <c r="AI13" s="40"/>
      <c r="AJ13" s="40"/>
      <c r="AK13" s="40"/>
      <c r="AL13" s="40"/>
      <c r="AM13" s="50" t="s">
        <v>157</v>
      </c>
      <c r="AN13" s="40"/>
      <c r="AO13" s="40"/>
      <c r="AP13" s="40"/>
      <c r="AQ13" s="40"/>
      <c r="AR13" s="40"/>
      <c r="AS13" s="40"/>
    </row>
    <row r="14" spans="1:45">
      <c r="G14" s="22" t="s">
        <v>158</v>
      </c>
      <c r="H14" s="32"/>
      <c r="I14" s="25" t="s">
        <v>159</v>
      </c>
      <c r="J14" s="32">
        <f>1/J8^2*1000000</f>
        <v>192.90123456790121</v>
      </c>
      <c r="K14" s="32">
        <f>1/K8^2*1000000</f>
        <v>192.90123456790121</v>
      </c>
      <c r="L14" s="32">
        <f>1/L8^2*1000000</f>
        <v>192.90123456790121</v>
      </c>
      <c r="M14" s="29" t="s">
        <v>160</v>
      </c>
      <c r="N14" s="28" t="s">
        <v>161</v>
      </c>
      <c r="O14" s="28" t="s">
        <v>162</v>
      </c>
      <c r="P14" s="28" t="s">
        <v>163</v>
      </c>
      <c r="Q14" s="28" t="s">
        <v>164</v>
      </c>
      <c r="R14" s="29" t="s">
        <v>165</v>
      </c>
      <c r="S14" s="28" t="s">
        <v>166</v>
      </c>
      <c r="U14" s="29" t="s">
        <v>167</v>
      </c>
      <c r="V14" s="40">
        <f>2*$AA$8-V13</f>
        <v>-6.4236690567662819E-2</v>
      </c>
      <c r="W14" s="40">
        <f>2*$AA$8-W13</f>
        <v>0.27994319316927213</v>
      </c>
      <c r="X14" s="40">
        <f>2*$AA$8-X13</f>
        <v>0.10785325130080466</v>
      </c>
      <c r="Y14" s="40">
        <f>2*$AA$8-Y13</f>
        <v>0.10785325130080463</v>
      </c>
      <c r="Z14" s="48"/>
      <c r="AA14" s="48"/>
      <c r="AC14" s="40"/>
      <c r="AD14" s="40"/>
      <c r="AE14" s="40"/>
      <c r="AF14" s="40"/>
      <c r="AG14" s="40">
        <f>MIN(AC12:AF12)</f>
        <v>13.639352304723364</v>
      </c>
      <c r="AH14" s="40"/>
      <c r="AI14" s="40"/>
      <c r="AJ14" s="40"/>
      <c r="AK14" s="40"/>
      <c r="AL14" s="40"/>
      <c r="AM14" s="40">
        <f>MIN(AI12:AL12)</f>
        <v>13.816780166982401</v>
      </c>
      <c r="AN14" s="40"/>
      <c r="AO14" s="40"/>
      <c r="AP14" s="40"/>
      <c r="AQ14" s="40"/>
      <c r="AR14" s="40"/>
      <c r="AS14" s="40"/>
    </row>
    <row r="15" spans="1:45">
      <c r="A15" s="7" t="s">
        <v>0</v>
      </c>
      <c r="B15" s="7"/>
      <c r="C15" s="7"/>
      <c r="D15" s="7"/>
      <c r="E15" s="7"/>
      <c r="F15" s="16"/>
      <c r="G15" s="25" t="s">
        <v>1</v>
      </c>
      <c r="H15" s="51">
        <f>(3*H10+3*H11+2*H12+4*H13)/8</f>
        <v>20.450001465788915</v>
      </c>
      <c r="I15" s="25" t="s">
        <v>2</v>
      </c>
      <c r="J15" s="32">
        <f>(1/J4-1/J5)*1000</f>
        <v>-0.69772467660769966</v>
      </c>
      <c r="K15" s="32">
        <f>(1/K4-1/K5)*1000</f>
        <v>-0.69772467660769966</v>
      </c>
      <c r="L15" s="32">
        <f>(1/L4-1/L5)*1000</f>
        <v>0</v>
      </c>
      <c r="M15" s="29">
        <v>11</v>
      </c>
      <c r="N15" s="40">
        <f>$H$15+$H$16*COS(N6)+$H$17*COS(N7)</f>
        <v>39.167267860937642</v>
      </c>
      <c r="O15" s="40">
        <f>$H$15+$H$16*COS(O6)+$H$17*COS(O7)</f>
        <v>8.3915364044029559</v>
      </c>
      <c r="P15" s="40">
        <f>$H$15+$H$16*COS(P6)+$H$17*COS(P7)</f>
        <v>17.120600798907532</v>
      </c>
      <c r="Q15" s="40">
        <f>$H$15+$H$16*COS(Q6)+$H$17*COS(Q7)</f>
        <v>17.120600798907532</v>
      </c>
      <c r="R15" s="49">
        <f t="shared" ref="R15:R20" si="4">(N15*$N$11+O15*$O$11+P15*$P$11+Q15*$Q$11)*$R$12/2</f>
        <v>2.6394851998956491E-2</v>
      </c>
      <c r="S15" s="49">
        <f t="shared" ref="S15:S20" si="5">$R$5*R15*2</f>
        <v>5.2789703997912982E-2</v>
      </c>
      <c r="U15" s="29" t="s">
        <v>3</v>
      </c>
      <c r="V15" s="40">
        <f>2*($AA$10*COS(V4)-$AA$9*SIN(V4))</f>
        <v>-3.2352762172662229E-17</v>
      </c>
      <c r="W15" s="40">
        <f>2*($AA$10*COS(W4)-$AA$9*SIN(W4))</f>
        <v>-9.8143831044312091E-18</v>
      </c>
      <c r="X15" s="40">
        <f>2*($AA$10*COS(X4)-$AA$9*SIN(X4))</f>
        <v>-0.34417988373693498</v>
      </c>
      <c r="Y15" s="40">
        <f>2*($AA$10*COS(Y4)-$AA$9*SIN(Y4))</f>
        <v>0.34417988373693498</v>
      </c>
      <c r="Z15" s="48"/>
      <c r="AA15" s="48"/>
      <c r="AE15" s="23"/>
      <c r="AK15" s="23"/>
    </row>
    <row r="16" spans="1:45">
      <c r="A16" s="13" t="s">
        <v>4</v>
      </c>
      <c r="B16" s="13" t="s">
        <v>5</v>
      </c>
      <c r="C16" s="13" t="s">
        <v>6</v>
      </c>
      <c r="D16" s="13" t="s">
        <v>101</v>
      </c>
      <c r="E16" s="13" t="s">
        <v>7</v>
      </c>
      <c r="F16" s="7"/>
      <c r="G16" s="25" t="s">
        <v>8</v>
      </c>
      <c r="H16" s="51">
        <f>(H10-H11)/2</f>
        <v>15.387865728267341</v>
      </c>
      <c r="I16" s="25" t="s">
        <v>9</v>
      </c>
      <c r="J16" s="32">
        <f>(1/J6-1/J7)*1000</f>
        <v>23.783488244942593</v>
      </c>
      <c r="K16" s="32">
        <f>(1/K6-1/K7)*1000</f>
        <v>23.783488244942593</v>
      </c>
      <c r="L16" s="32">
        <f>(1/L6-1/L7)*1000</f>
        <v>23.783488244942593</v>
      </c>
      <c r="M16" s="29">
        <v>22</v>
      </c>
      <c r="N16" s="40">
        <f>N15-2*$H$16*COS(N6)</f>
        <v>8.3915364044029594</v>
      </c>
      <c r="O16" s="40">
        <f>O15-2*$H$16*COS(O6)</f>
        <v>39.167267860937642</v>
      </c>
      <c r="P16" s="40">
        <f>P15-2*$H$16*COS(P6)</f>
        <v>17.120600798907528</v>
      </c>
      <c r="Q16" s="40">
        <f>Q15-2*$H$16*COS(Q6)</f>
        <v>17.120600798907528</v>
      </c>
      <c r="R16" s="49">
        <f t="shared" si="4"/>
        <v>2.6394851998956491E-2</v>
      </c>
      <c r="S16" s="49">
        <f t="shared" si="5"/>
        <v>5.2789703997912982E-2</v>
      </c>
      <c r="V16" s="23"/>
      <c r="W16" s="23"/>
      <c r="Z16" s="48"/>
      <c r="AA16" s="48"/>
      <c r="AE16" s="23"/>
      <c r="AK16" s="23"/>
      <c r="AN16" s="23" t="s">
        <v>10</v>
      </c>
      <c r="AO16" s="40">
        <f>IF(AO3=0,10000000,MIN(AC27))</f>
        <v>98.111143791415984</v>
      </c>
      <c r="AP16" s="40">
        <f>IF(AP3=0,10000000,MIN(AD27))</f>
        <v>320.17707251929994</v>
      </c>
      <c r="AQ16" s="40">
        <f>IF(AQ3=0,10000000,MIN(AE27))</f>
        <v>238.13627558006726</v>
      </c>
      <c r="AR16" s="40">
        <f>IF(AR3=0,10000000,MIN(AF27))</f>
        <v>238.13627558006721</v>
      </c>
    </row>
    <row r="17" spans="1:44">
      <c r="A17" s="13" t="s">
        <v>11</v>
      </c>
      <c r="B17" s="13" t="s">
        <v>12</v>
      </c>
      <c r="C17" s="13" t="s">
        <v>13</v>
      </c>
      <c r="D17" s="13" t="s">
        <v>14</v>
      </c>
      <c r="E17" s="13" t="s">
        <v>15</v>
      </c>
      <c r="F17" s="7"/>
      <c r="G17" s="25" t="s">
        <v>16</v>
      </c>
      <c r="H17" s="51">
        <f>(H10+H11-2*H12-4*H13)/8</f>
        <v>3.3294006668813823</v>
      </c>
      <c r="I17" s="25" t="s">
        <v>17</v>
      </c>
      <c r="J17" s="33">
        <f>(J11*H10^2+2*J13*H10*H12+J12*H12^2)</f>
        <v>1913.9303490252496</v>
      </c>
      <c r="K17" s="33">
        <f>(K11*H10^2+2*K13*H10*H12+K12*H12^2)</f>
        <v>3669.3828491250333</v>
      </c>
      <c r="L17" s="33">
        <f>(L11*H10^2+2*L13*H10*H12+L12*H12^2)</f>
        <v>1301.3255774254951</v>
      </c>
      <c r="M17" s="29" t="s">
        <v>18</v>
      </c>
      <c r="N17" s="40">
        <f>$H$18-$H$17*COS(N7)</f>
        <v>2.1817994651447701</v>
      </c>
      <c r="O17" s="40">
        <f>$H$18-$H$17*COS(O7)</f>
        <v>2.1817994651447701</v>
      </c>
      <c r="P17" s="40">
        <f>$H$18-$H$17*COS(P7)</f>
        <v>8.8406007989075341</v>
      </c>
      <c r="Q17" s="40">
        <f>$H$18-$H$17*COS(Q7)</f>
        <v>8.8406007989075341</v>
      </c>
      <c r="R17" s="49">
        <f t="shared" si="4"/>
        <v>6.056649998312345E-3</v>
      </c>
      <c r="S17" s="49">
        <f t="shared" si="5"/>
        <v>1.211329999662469E-2</v>
      </c>
      <c r="V17" s="23"/>
      <c r="W17" s="23"/>
      <c r="Z17" s="48"/>
      <c r="AA17" s="48"/>
      <c r="AE17" s="23"/>
      <c r="AK17" s="23"/>
      <c r="AN17" s="29" t="s">
        <v>77</v>
      </c>
      <c r="AO17" s="40">
        <f>MIN(AO12,AO16)</f>
        <v>98.111143791415984</v>
      </c>
      <c r="AP17" s="40">
        <f>MIN(AP12,AP16)</f>
        <v>14.033487126411679</v>
      </c>
      <c r="AQ17" s="40">
        <f>MIN(AQ12,AQ16)</f>
        <v>22.688955923858423</v>
      </c>
      <c r="AR17" s="40">
        <f>MIN(AR12,AR16)</f>
        <v>22.688955923858426</v>
      </c>
    </row>
    <row r="18" spans="1:44">
      <c r="A18" s="13" t="s">
        <v>19</v>
      </c>
      <c r="B18" s="13" t="s">
        <v>20</v>
      </c>
      <c r="C18" s="13" t="s">
        <v>21</v>
      </c>
      <c r="D18" s="13" t="s">
        <v>22</v>
      </c>
      <c r="E18" s="13"/>
      <c r="F18" s="7"/>
      <c r="G18" s="25" t="s">
        <v>23</v>
      </c>
      <c r="H18" s="51">
        <f>(H10+H11+6*H12-4*H13)/8</f>
        <v>5.5112001320261523</v>
      </c>
      <c r="I18" s="25" t="s">
        <v>24</v>
      </c>
      <c r="J18" s="33">
        <f>(J11*H12^2+2*J13*H12*H11+J12*H11^2)</f>
        <v>18881.622817370924</v>
      </c>
      <c r="K18" s="33">
        <f>(K11*H12^2+2*K13*H12*H11+K12*H11^2)</f>
        <v>19257.726241615099</v>
      </c>
      <c r="L18" s="33">
        <f>(L11*H12^2+2*L13*H12*H11+L12*H11^2)</f>
        <v>19250.378137395921</v>
      </c>
      <c r="M18" s="29">
        <v>66</v>
      </c>
      <c r="N18" s="40">
        <f>N17-$H$18+$H$19</f>
        <v>4.1399999999999988</v>
      </c>
      <c r="O18" s="40">
        <f>O17-$H$18+$H$19</f>
        <v>4.1399999999999988</v>
      </c>
      <c r="P18" s="40">
        <f>P17-$H$18+$H$19</f>
        <v>10.798801333762764</v>
      </c>
      <c r="Q18" s="40">
        <f>Q17-$H$18+$H$19</f>
        <v>10.798801333762764</v>
      </c>
      <c r="R18" s="49">
        <f t="shared" si="4"/>
        <v>8.5044006668813805E-3</v>
      </c>
      <c r="S18" s="49">
        <f t="shared" si="5"/>
        <v>1.7008801333762761E-2</v>
      </c>
      <c r="V18" s="23"/>
      <c r="W18" s="23"/>
      <c r="Z18" s="48"/>
      <c r="AA18" s="48"/>
      <c r="AE18" s="23"/>
      <c r="AK18" s="23"/>
      <c r="AO18" s="40"/>
      <c r="AP18" s="40" t="s">
        <v>77</v>
      </c>
      <c r="AQ18" s="40" t="s">
        <v>157</v>
      </c>
      <c r="AR18" s="40">
        <f>MIN(AO17:AR17)</f>
        <v>14.033487126411679</v>
      </c>
    </row>
    <row r="19" spans="1:44">
      <c r="A19" s="7" t="s">
        <v>25</v>
      </c>
      <c r="B19" s="7"/>
      <c r="C19" s="7"/>
      <c r="D19" s="7"/>
      <c r="E19" s="7"/>
      <c r="F19" s="7"/>
      <c r="G19" s="25" t="s">
        <v>26</v>
      </c>
      <c r="H19" s="51">
        <f>(H15-H18)/2</f>
        <v>7.4694006668813815</v>
      </c>
      <c r="I19" s="25" t="s">
        <v>27</v>
      </c>
      <c r="J19" s="33">
        <f>(J11*H10*H12+J13*(H10*H11+H12^2)+J12*H12*H11)</f>
        <v>1712.2465117015681</v>
      </c>
      <c r="K19" s="33">
        <f>(K11*H10*H12+K13*(H10*H11+H12^2)+K12*H12*H11)</f>
        <v>5137.0101493528955</v>
      </c>
      <c r="L19" s="33">
        <f>(L11*H10*H12+L13*(H10*H11+H12^2)+L12*H12*H11)</f>
        <v>5005.0983165651141</v>
      </c>
      <c r="M19" s="29" t="s">
        <v>28</v>
      </c>
      <c r="N19" s="40">
        <f>$H$16*SIN(N6)/2+$H$17*SIN(N7)</f>
        <v>0</v>
      </c>
      <c r="O19" s="40">
        <f>$H$16*SIN(O6)/2+$H$17*SIN(O7)</f>
        <v>1.2681897950611109E-16</v>
      </c>
      <c r="P19" s="40">
        <f>$H$16*SIN(P6)/2+$H$17*SIN(P7)</f>
        <v>7.6939328641336706</v>
      </c>
      <c r="Q19" s="40">
        <f>$H$16*SIN(Q6)/2+$H$17*SIN(Q7)</f>
        <v>-7.6939328641336706</v>
      </c>
      <c r="R19" s="49">
        <f t="shared" si="4"/>
        <v>5.5511151231257828E-19</v>
      </c>
      <c r="S19" s="49">
        <f t="shared" si="5"/>
        <v>1.1102230246251566E-18</v>
      </c>
      <c r="U19" s="27" t="s">
        <v>29</v>
      </c>
      <c r="V19" s="23"/>
      <c r="W19" s="23"/>
      <c r="Z19" s="39" t="s">
        <v>30</v>
      </c>
      <c r="AA19" s="39" t="s">
        <v>31</v>
      </c>
      <c r="AB19" s="27" t="s">
        <v>32</v>
      </c>
      <c r="AE19" s="23"/>
      <c r="AG19" s="43" t="s">
        <v>33</v>
      </c>
      <c r="AH19" s="24"/>
      <c r="AK19" s="23"/>
    </row>
    <row r="20" spans="1:44">
      <c r="A20" s="54" t="s">
        <v>58</v>
      </c>
      <c r="B20" s="54">
        <v>38.6</v>
      </c>
      <c r="C20" s="54">
        <v>8.27</v>
      </c>
      <c r="D20" s="54">
        <v>0.26</v>
      </c>
      <c r="E20" s="54">
        <v>4.1399999999999997</v>
      </c>
      <c r="F20" s="7"/>
      <c r="G20" s="22" t="s">
        <v>35</v>
      </c>
      <c r="H20" s="51"/>
      <c r="I20" s="25" t="s">
        <v>36</v>
      </c>
      <c r="J20" s="33">
        <f>J14*H13^2</f>
        <v>3306.2499999999991</v>
      </c>
      <c r="K20" s="33">
        <f>K14*H13^2</f>
        <v>3306.2499999999991</v>
      </c>
      <c r="L20" s="33">
        <f>L14*H13^2</f>
        <v>3306.2499999999991</v>
      </c>
      <c r="M20" s="29" t="s">
        <v>37</v>
      </c>
      <c r="N20" s="40">
        <f>$H$16*SIN(N6)-N19</f>
        <v>0</v>
      </c>
      <c r="O20" s="40">
        <f>$H$16*SIN(O6)-O19</f>
        <v>1.758423012626693E-15</v>
      </c>
      <c r="P20" s="40">
        <f>$H$16*SIN(P6)-P19</f>
        <v>7.6939328641336706</v>
      </c>
      <c r="Q20" s="40">
        <f>$H$16*SIN(Q6)-Q19</f>
        <v>-7.6939328641336706</v>
      </c>
      <c r="R20" s="49">
        <f t="shared" si="4"/>
        <v>1.1102230246251566E-18</v>
      </c>
      <c r="S20" s="49">
        <f t="shared" si="5"/>
        <v>2.2204460492503131E-18</v>
      </c>
      <c r="U20" s="29" t="s">
        <v>38</v>
      </c>
      <c r="V20" s="40">
        <f>(V13+V16*V5)</f>
        <v>0.27994319316927213</v>
      </c>
      <c r="W20" s="40">
        <f>(W13+W16*W5)</f>
        <v>-6.4236690567662832E-2</v>
      </c>
      <c r="X20" s="40">
        <f>(X13+X16*X5)</f>
        <v>0.10785325130080466</v>
      </c>
      <c r="Y20" s="40">
        <f>(Y13+Y16*Y5)</f>
        <v>0.10785325130080468</v>
      </c>
      <c r="Z20" s="40">
        <f>J4/H3</f>
        <v>27.512953367875646</v>
      </c>
      <c r="AA20" s="40">
        <f>J5/H3</f>
        <v>15.803108808290155</v>
      </c>
      <c r="AB20" s="29" t="s">
        <v>38</v>
      </c>
      <c r="AC20" s="40">
        <f>IF(V3=0,100000000,IF(V20=0,10000000,IF(V20&gt;0, $Z$20/V20,-$AA$20/V20)))</f>
        <v>98.280487038809682</v>
      </c>
      <c r="AD20" s="40">
        <f>IF(W3=0,100000000,IF(W20=0,10000000,IF(W20&gt;0, $Z$20/W20,-$AA$20/W20)))</f>
        <v>246.01374492735064</v>
      </c>
      <c r="AE20" s="40">
        <f>IF(X3=0,100000000,IF(X20=0,10000000,IF(X20&gt;0, $Z$20/X20,-$AA$20/X20)))</f>
        <v>255.09618890525167</v>
      </c>
      <c r="AF20" s="40">
        <f>IF(Y3=0,100000000,IF(Y20=0,10000000,IF(Y20&gt;0, $Z$20/Y20,-$AA$20/Y20)))</f>
        <v>255.09618890525161</v>
      </c>
      <c r="AG20" s="40">
        <f>MIN(AC20:AF20)</f>
        <v>98.280487038809682</v>
      </c>
      <c r="AH20" s="24"/>
      <c r="AK20" s="23"/>
    </row>
    <row r="21" spans="1:44">
      <c r="A21" s="54">
        <v>1062</v>
      </c>
      <c r="B21" s="54">
        <v>610</v>
      </c>
      <c r="C21" s="54">
        <v>31</v>
      </c>
      <c r="D21" s="54">
        <v>118</v>
      </c>
      <c r="E21" s="54">
        <v>72</v>
      </c>
      <c r="F21" s="7"/>
      <c r="G21" s="25" t="s">
        <v>39</v>
      </c>
      <c r="H21" s="51">
        <f>(1-(H18/H15)^2)*H15</f>
        <v>18.964753313310442</v>
      </c>
      <c r="I21" s="25" t="s">
        <v>40</v>
      </c>
      <c r="J21" s="33">
        <f>(J15*H10+J16*H12)</f>
        <v>24.5628326302128</v>
      </c>
      <c r="K21" s="33">
        <f>(K15*H10+K16*H12)</f>
        <v>24.5628326302128</v>
      </c>
      <c r="L21" s="33">
        <f>(L15*H10+L16*H12)</f>
        <v>51.890801932092664</v>
      </c>
      <c r="M21" s="27"/>
      <c r="N21" s="24"/>
      <c r="O21" s="24"/>
      <c r="R21" s="49">
        <f>S15*S16*S18+2*S17*S19*S20-S16*S19^2-S18*S17^2-S15*S20^2</f>
        <v>4.4903589497745296E-5</v>
      </c>
      <c r="S21" s="23"/>
      <c r="U21" s="29" t="s">
        <v>41</v>
      </c>
      <c r="V21" s="40">
        <f>(V14+V17*V5)</f>
        <v>-6.4236690567662819E-2</v>
      </c>
      <c r="W21" s="40">
        <f>(W14+W17*W5)</f>
        <v>0.27994319316927213</v>
      </c>
      <c r="X21" s="40">
        <f>(X14+X17*X5)</f>
        <v>0.10785325130080466</v>
      </c>
      <c r="Y21" s="40">
        <f>(Y14+Y17*Y5)</f>
        <v>0.10785325130080463</v>
      </c>
      <c r="Z21" s="40">
        <f>J6/H4</f>
        <v>3.7484885126964937</v>
      </c>
      <c r="AA21" s="40">
        <f>J7/H4</f>
        <v>14.268440145102781</v>
      </c>
      <c r="AB21" s="29" t="s">
        <v>41</v>
      </c>
      <c r="AC21" s="40">
        <f>IF(V3=0,100000000,IF(V21=0,10000000,IF(V21&gt;0, $Z$21/V21,-$AA$21/V21)))</f>
        <v>222.12290233216982</v>
      </c>
      <c r="AD21" s="40">
        <f>IF(W3=0,100000000,IF(W21=0,10000000,IF(W21&gt;0, $Z$21/W21,-$AA$21/W21)))</f>
        <v>13.390175593338718</v>
      </c>
      <c r="AE21" s="40">
        <f>IF(X3=0,100000000,IF(X21=0,10000000,IF(X21&gt;0, $Z$21/X21,-$AA$21/X21)))</f>
        <v>34.755452130431301</v>
      </c>
      <c r="AF21" s="40">
        <f>IF(Y3=0,100000000,IF(Y21=0,10000000,IF(Y21&gt;0, $Z$21/Y21,-$AA$21/Y21)))</f>
        <v>34.755452130431308</v>
      </c>
      <c r="AG21" s="28"/>
      <c r="AH21" s="24"/>
      <c r="AK21" s="23"/>
    </row>
    <row r="22" spans="1:44">
      <c r="A22" s="54">
        <v>-0.5</v>
      </c>
      <c r="B22" s="54">
        <v>0.125</v>
      </c>
      <c r="C22" s="54">
        <v>0.45</v>
      </c>
      <c r="D22" s="54">
        <v>1.8</v>
      </c>
      <c r="E22" s="54"/>
      <c r="F22" s="7"/>
      <c r="G22" s="25" t="s">
        <v>42</v>
      </c>
      <c r="H22" s="32">
        <f>H18/H15</f>
        <v>0.26949631965777182</v>
      </c>
      <c r="I22" s="25" t="s">
        <v>43</v>
      </c>
      <c r="J22" s="33">
        <f>(J15*H12+J16*H11)</f>
        <v>198.05771210488462</v>
      </c>
      <c r="K22" s="33">
        <f>(K15*H12+K16*H11)</f>
        <v>198.05771210488462</v>
      </c>
      <c r="L22" s="33">
        <f>(L15*H12+L16*H11)</f>
        <v>199.58000743112561</v>
      </c>
      <c r="M22" s="29" t="s">
        <v>44</v>
      </c>
      <c r="N22" s="28" t="s">
        <v>45</v>
      </c>
      <c r="P22" s="28" t="s">
        <v>46</v>
      </c>
      <c r="R22" s="28" t="s">
        <v>47</v>
      </c>
      <c r="S22" s="24" t="s">
        <v>48</v>
      </c>
      <c r="U22" s="29" t="s">
        <v>49</v>
      </c>
      <c r="V22" s="40">
        <f>(V15+V18*V5)</f>
        <v>-3.2352762172662229E-17</v>
      </c>
      <c r="W22" s="40">
        <f>(W15+W18*W5)</f>
        <v>-9.8143831044312091E-18</v>
      </c>
      <c r="X22" s="40">
        <f>(X15+X18*X5)</f>
        <v>-0.34417988373693498</v>
      </c>
      <c r="Y22" s="40">
        <f>(Y15+Y18*Y5)</f>
        <v>0.34417988373693498</v>
      </c>
      <c r="Z22" s="40">
        <f>J8/H6</f>
        <v>17.39130434782609</v>
      </c>
      <c r="AA22" s="40">
        <f>Z22</f>
        <v>17.39130434782609</v>
      </c>
      <c r="AB22" s="29" t="s">
        <v>49</v>
      </c>
      <c r="AC22" s="40">
        <f>IF(V3=0,100000000,IF(V22=0,10000000,IF(V22&gt;0, $Z$22/V22,-$AA$22/V22)))</f>
        <v>5.3755238130862202E+17</v>
      </c>
      <c r="AD22" s="40">
        <f>IF(W3=0,100000000,IF(W22=0,10000000,IF(W22&gt;0, $Z$22/W22,-$AA$22/W22)))</f>
        <v>1.7720221600045233E+18</v>
      </c>
      <c r="AE22" s="40">
        <f>IF(X3=0,100000000,IF(X22=0,10000000,IF(X22&gt;0, $Z$22/X22,-$AA$22/X22)))</f>
        <v>50.529694411538252</v>
      </c>
      <c r="AF22" s="40">
        <f>IF(Y3=0,100000000,IF(Y22=0,10000000,IF(Y22&gt;0, $Z$22/Y22,-$AA$22/Y22)))</f>
        <v>50.529694411538252</v>
      </c>
      <c r="AG22" s="24"/>
      <c r="AK22" s="23"/>
    </row>
    <row r="23" spans="1:44">
      <c r="A23" s="1" t="s">
        <v>50</v>
      </c>
      <c r="M23" s="29">
        <v>11</v>
      </c>
      <c r="N23" s="24">
        <f>(S16*S18-S20^2)/R21</f>
        <v>19.995942369233724</v>
      </c>
      <c r="P23" s="24">
        <f t="shared" ref="P23:P28" si="6">N23*$R$12</f>
        <v>4.998985592308431E-2</v>
      </c>
      <c r="R23" s="40">
        <f>1/P23</f>
        <v>20.004058454151696</v>
      </c>
      <c r="S23" s="40">
        <f t="shared" ref="S23:S28" si="7">S15/$R$12</f>
        <v>21.115881599165192</v>
      </c>
      <c r="V23" s="23"/>
      <c r="W23" s="23"/>
      <c r="AE23" s="23"/>
      <c r="AG23" s="23" t="s">
        <v>51</v>
      </c>
      <c r="AH23" s="40"/>
      <c r="AK23" s="23"/>
    </row>
    <row r="24" spans="1:44">
      <c r="A24" s="55" t="s">
        <v>34</v>
      </c>
      <c r="B24" s="1">
        <v>181</v>
      </c>
      <c r="C24" s="1">
        <v>10.3</v>
      </c>
      <c r="D24" s="1">
        <v>0.28000000000000003</v>
      </c>
      <c r="E24" s="1">
        <v>7.17</v>
      </c>
      <c r="M24" s="29">
        <v>22</v>
      </c>
      <c r="N24" s="24">
        <f>(S15*S18-S19^2)/R21</f>
        <v>19.995942369233724</v>
      </c>
      <c r="P24" s="24">
        <f t="shared" si="6"/>
        <v>4.998985592308431E-2</v>
      </c>
      <c r="R24" s="40">
        <f>1/P24</f>
        <v>20.004058454151696</v>
      </c>
      <c r="S24" s="40">
        <f t="shared" si="7"/>
        <v>21.115881599165192</v>
      </c>
      <c r="V24" s="23"/>
      <c r="W24" s="23"/>
      <c r="AB24" s="29" t="s">
        <v>52</v>
      </c>
      <c r="AC24" s="40">
        <f>IF(V3=0,100000,MIN(AC20:AC22))</f>
        <v>98.280487038809682</v>
      </c>
      <c r="AD24" s="40">
        <f>IF(W3=0,100000,MIN(AD20:AD22))</f>
        <v>13.390175593338718</v>
      </c>
      <c r="AE24" s="40">
        <f>IF(X3=0,100000,MIN(AE20:AE22))</f>
        <v>34.755452130431301</v>
      </c>
      <c r="AF24" s="40">
        <f>IF(Y3=0,100000,MIN(AF20:AF22))</f>
        <v>34.755452130431308</v>
      </c>
      <c r="AG24" s="40">
        <f>MIN(AC24:AF24)</f>
        <v>13.390175593338718</v>
      </c>
      <c r="AH24" s="24"/>
      <c r="AK24" s="23"/>
    </row>
    <row r="25" spans="1:44">
      <c r="A25" s="55">
        <v>1500</v>
      </c>
      <c r="B25" s="1">
        <v>1500</v>
      </c>
      <c r="C25" s="1">
        <v>40</v>
      </c>
      <c r="D25" s="1">
        <v>246</v>
      </c>
      <c r="E25" s="1">
        <v>68</v>
      </c>
      <c r="M25" s="29" t="s">
        <v>18</v>
      </c>
      <c r="N25" s="24">
        <f>(S19*S20-S17*S18)/R21</f>
        <v>-4.588335040547344</v>
      </c>
      <c r="P25" s="24">
        <f t="shared" si="6"/>
        <v>-1.1470837601368361E-2</v>
      </c>
      <c r="R25" s="40">
        <f>-P25/P23</f>
        <v>0.22946330589585393</v>
      </c>
      <c r="S25" s="40">
        <f t="shared" si="7"/>
        <v>4.8453199986498756</v>
      </c>
      <c r="V25" s="23"/>
      <c r="W25" s="23"/>
      <c r="AE25" s="23"/>
      <c r="AH25" s="24"/>
      <c r="AK25" s="23"/>
    </row>
    <row r="26" spans="1:44">
      <c r="A26" s="55">
        <v>-0.5</v>
      </c>
      <c r="B26" s="1">
        <v>0.125</v>
      </c>
      <c r="C26" s="1">
        <v>0.7</v>
      </c>
      <c r="D26" s="1">
        <v>1.6</v>
      </c>
      <c r="M26" s="29">
        <v>66</v>
      </c>
      <c r="N26" s="24">
        <f>(S15*S16-S17^2)/R21</f>
        <v>58.793090728561985</v>
      </c>
      <c r="P26" s="24">
        <f t="shared" si="6"/>
        <v>0.14698272682140498</v>
      </c>
      <c r="R26" s="40">
        <f>1/P26</f>
        <v>6.803520533505103</v>
      </c>
      <c r="S26" s="40">
        <f t="shared" si="7"/>
        <v>6.8035205335051039</v>
      </c>
      <c r="U26" s="27" t="s">
        <v>53</v>
      </c>
      <c r="V26" s="23"/>
      <c r="W26" s="23"/>
      <c r="Z26" s="29" t="s">
        <v>54</v>
      </c>
      <c r="AA26" s="39" t="s">
        <v>55</v>
      </c>
      <c r="AB26" s="27" t="s">
        <v>56</v>
      </c>
      <c r="AC26" s="49"/>
      <c r="AD26" s="49"/>
      <c r="AE26" s="49"/>
      <c r="AF26" s="49"/>
      <c r="AG26" s="43" t="s">
        <v>57</v>
      </c>
      <c r="AK26" s="23"/>
    </row>
    <row r="27" spans="1:44">
      <c r="A27" s="55" t="s">
        <v>58</v>
      </c>
      <c r="B27" s="1">
        <v>38.6</v>
      </c>
      <c r="C27" s="1">
        <v>8.27</v>
      </c>
      <c r="D27" s="1">
        <v>0.26</v>
      </c>
      <c r="E27" s="1">
        <v>4.1399999999999997</v>
      </c>
      <c r="M27" s="29" t="s">
        <v>28</v>
      </c>
      <c r="N27" s="24">
        <f>(S17*S20-S16*S19)/R21</f>
        <v>-7.0621115317145975E-16</v>
      </c>
      <c r="P27" s="24">
        <f t="shared" si="6"/>
        <v>-1.7655278829286496E-18</v>
      </c>
      <c r="R27" s="40">
        <f>P27/P23</f>
        <v>-3.5317722972539401E-17</v>
      </c>
      <c r="S27" s="40">
        <f t="shared" si="7"/>
        <v>4.4408920985006262E-16</v>
      </c>
      <c r="U27" s="29" t="s">
        <v>59</v>
      </c>
      <c r="V27" s="45">
        <f>(V20*$H$10+$H$12*V21)</f>
        <v>10.824458455583894</v>
      </c>
      <c r="W27" s="45">
        <f>(W20*$H$10+$H$12*W21)</f>
        <v>-1.9051957568361797</v>
      </c>
      <c r="X27" s="45">
        <f>(X20*$H$10+$H$12*X21)</f>
        <v>4.4596313493738569</v>
      </c>
      <c r="Y27" s="45">
        <f>(Y20*$H$10+$H$12*Y21)</f>
        <v>4.4596313493738577</v>
      </c>
      <c r="Z27" s="45">
        <f>J4</f>
        <v>1062</v>
      </c>
      <c r="AA27" s="45">
        <f>J5</f>
        <v>610</v>
      </c>
      <c r="AB27" s="29" t="s">
        <v>59</v>
      </c>
      <c r="AC27" s="40">
        <f>IF(V3=0,100000000,IF(V27=0,10000000,IF(V27&gt;0,$Z$27/V27,-$AA$27/V27)))</f>
        <v>98.111143791415984</v>
      </c>
      <c r="AD27" s="40">
        <f>IF(W3=0,100000000,IF(W27=0,10000000,IF(W27&gt;0,$Z$27/W27,-$AA$27/W27)))</f>
        <v>320.17707251929994</v>
      </c>
      <c r="AE27" s="40">
        <f>IF(X3=0,100000000,IF(X27=0,10000000,IF(X27&gt;0,$Z$27/X27,-$AA$27/X27)))</f>
        <v>238.13627558006726</v>
      </c>
      <c r="AF27" s="40">
        <f>IF(Y3=0,100000000,IF(Y27=0,10000000,IF(Y27&gt;0,$Z$27/Y27,-$AA$27/Y27)))</f>
        <v>238.13627558006721</v>
      </c>
      <c r="AG27" s="40">
        <f>MIN(AC27:AF27)</f>
        <v>98.111143791415984</v>
      </c>
      <c r="AK27" s="23"/>
    </row>
    <row r="28" spans="1:44">
      <c r="A28" s="55">
        <v>1062</v>
      </c>
      <c r="B28" s="1">
        <v>610</v>
      </c>
      <c r="C28" s="1">
        <v>31</v>
      </c>
      <c r="D28" s="1">
        <v>118</v>
      </c>
      <c r="E28" s="1">
        <v>72</v>
      </c>
      <c r="M28" s="29" t="s">
        <v>37</v>
      </c>
      <c r="N28" s="24">
        <f>(S17*S19-S15*S20)/R21</f>
        <v>-2.3109115837615878E-15</v>
      </c>
      <c r="P28" s="24">
        <f t="shared" si="6"/>
        <v>-5.7772789594039693E-18</v>
      </c>
      <c r="R28" s="40">
        <f>P28/P24</f>
        <v>-1.155690260098577E-16</v>
      </c>
      <c r="S28" s="40">
        <f t="shared" si="7"/>
        <v>8.8817841970012523E-16</v>
      </c>
      <c r="U28" s="29" t="s">
        <v>60</v>
      </c>
      <c r="V28" s="45">
        <f>(V20*$H$12+$H$11*V21)</f>
        <v>7.1735381730726133E-2</v>
      </c>
      <c r="W28" s="45">
        <f>(W20*$H$12+$H$11*W21)</f>
        <v>2.2090019195215604</v>
      </c>
      <c r="X28" s="45">
        <f>(X20*$H$12+$H$11*X21)</f>
        <v>1.1403686506261432</v>
      </c>
      <c r="Y28" s="45">
        <f>(Y20*$H$12+$H$11*Y21)</f>
        <v>1.140368650626143</v>
      </c>
      <c r="Z28" s="45">
        <f>J6</f>
        <v>31</v>
      </c>
      <c r="AA28" s="45">
        <f>J7</f>
        <v>118</v>
      </c>
      <c r="AB28" s="29" t="s">
        <v>60</v>
      </c>
      <c r="AC28" s="40">
        <f>IF(V28=0,1000000,IF(V28&gt;0,$Z$28/V28,-$AA$28/V28))</f>
        <v>432.14379364934626</v>
      </c>
      <c r="AD28" s="40">
        <f>IF(W28=0,1000000,IF(W28&gt;0,$Z$28/W28,-$AA$28/W28))</f>
        <v>14.033487126491124</v>
      </c>
      <c r="AE28" s="40">
        <f>IF(X28=0,1000000,IF(X28&gt;0,$Z$28/X28,-$AA$28/X28))</f>
        <v>27.184191693606099</v>
      </c>
      <c r="AF28" s="40">
        <f>IF(Y28=0,1000000,IF(Y28&gt;0,$Z$28/Y28,-$AA$28/Y28))</f>
        <v>27.184191693606106</v>
      </c>
      <c r="AK28" s="23"/>
    </row>
    <row r="29" spans="1:44">
      <c r="A29" s="55">
        <v>-0.5</v>
      </c>
      <c r="B29" s="1">
        <v>0.125</v>
      </c>
      <c r="C29" s="1">
        <v>0.45</v>
      </c>
      <c r="D29" s="1">
        <v>1.8</v>
      </c>
      <c r="I29" s="20"/>
      <c r="N29" s="24"/>
      <c r="O29" s="24"/>
      <c r="P29" s="24"/>
      <c r="Q29" s="24"/>
      <c r="R29" s="28"/>
      <c r="U29" s="29" t="s">
        <v>61</v>
      </c>
      <c r="V29" s="45">
        <f>V22*$H$13</f>
        <v>-1.3394043539482161E-16</v>
      </c>
      <c r="W29" s="45">
        <f>W22*$H$13</f>
        <v>-4.0631546052345205E-17</v>
      </c>
      <c r="X29" s="45">
        <f>X22*$H$13</f>
        <v>-1.4249047186709107</v>
      </c>
      <c r="Y29" s="45">
        <f>Y22*$H$13</f>
        <v>1.4249047186709107</v>
      </c>
      <c r="Z29" s="45">
        <f>J8</f>
        <v>72</v>
      </c>
      <c r="AA29" s="45">
        <f>Z29</f>
        <v>72</v>
      </c>
      <c r="AB29" s="29" t="s">
        <v>61</v>
      </c>
      <c r="AC29" s="40">
        <f>IF(V29=0,1000000,ABS($Z$29/V29))</f>
        <v>5.3755238130862202E+17</v>
      </c>
      <c r="AD29" s="40">
        <f>IF(W29=0,1000000,ABS($Z$29/W29))</f>
        <v>1.772022160004523E+18</v>
      </c>
      <c r="AE29" s="40">
        <f>IF(X29=0,1000000,ABS($Z$29/X29))</f>
        <v>50.529694411538252</v>
      </c>
      <c r="AF29" s="40">
        <f>IF(Y29=0,1000000,ABS($Z$29/Y29))</f>
        <v>50.529694411538252</v>
      </c>
      <c r="AK29" s="23"/>
    </row>
    <row r="30" spans="1:44">
      <c r="A30" s="55" t="s">
        <v>62</v>
      </c>
      <c r="B30" s="1">
        <v>138</v>
      </c>
      <c r="C30" s="1">
        <v>8.9600000000000009</v>
      </c>
      <c r="D30" s="1">
        <v>0.3</v>
      </c>
      <c r="E30" s="1">
        <v>7.1</v>
      </c>
      <c r="F30" s="2"/>
      <c r="R30" s="23"/>
      <c r="S30" s="23"/>
      <c r="V30" s="23"/>
      <c r="W30" s="23"/>
      <c r="AC30" s="40"/>
      <c r="AD30" s="40"/>
      <c r="AE30" s="40"/>
      <c r="AF30" s="40"/>
      <c r="AG30" s="23" t="s">
        <v>63</v>
      </c>
      <c r="AH30" s="40"/>
      <c r="AK30" s="23"/>
    </row>
    <row r="31" spans="1:44">
      <c r="A31" s="55">
        <v>1447</v>
      </c>
      <c r="B31" s="3">
        <v>1447</v>
      </c>
      <c r="C31" s="3">
        <v>51.7</v>
      </c>
      <c r="D31" s="3">
        <v>206</v>
      </c>
      <c r="E31" s="1">
        <v>93</v>
      </c>
      <c r="R31" s="23"/>
      <c r="S31" s="23"/>
      <c r="V31" s="23"/>
      <c r="W31" s="23"/>
      <c r="AB31" s="29" t="s">
        <v>52</v>
      </c>
      <c r="AC31" s="40">
        <f>IF(V3=0,100000,MIN(AC27:AC29))</f>
        <v>98.111143791415984</v>
      </c>
      <c r="AD31" s="40">
        <f>IF(W3=0,100000,MIN(AD27:AD29))</f>
        <v>14.033487126491124</v>
      </c>
      <c r="AE31" s="40">
        <f>IF(X3=0,100000,MIN(AE27:AE29))</f>
        <v>27.184191693606099</v>
      </c>
      <c r="AF31" s="40">
        <f>IF(Y3=0,100000,MIN(AF27:AF29))</f>
        <v>27.184191693606106</v>
      </c>
      <c r="AG31" s="40">
        <f>MIN(AC31:AF31)</f>
        <v>14.033487126491124</v>
      </c>
      <c r="AK31" s="23"/>
    </row>
    <row r="32" spans="1:44">
      <c r="A32" s="55">
        <v>-0.5</v>
      </c>
      <c r="B32" s="1">
        <v>0.125</v>
      </c>
      <c r="C32" s="1">
        <v>0.66</v>
      </c>
      <c r="D32" s="1">
        <v>1.6</v>
      </c>
      <c r="R32" s="23"/>
      <c r="S32" s="23"/>
      <c r="V32" s="23"/>
      <c r="W32" s="23"/>
      <c r="AE32" s="23"/>
      <c r="AK32" s="23"/>
    </row>
    <row r="33" spans="18:37">
      <c r="R33" s="23"/>
      <c r="S33" s="23"/>
      <c r="V33" s="23"/>
      <c r="W33" s="23"/>
      <c r="AE33" s="23"/>
      <c r="AK33" s="23"/>
    </row>
    <row r="34" spans="18:37">
      <c r="R34" s="23"/>
      <c r="S34" s="23"/>
      <c r="V34" s="23"/>
      <c r="W34" s="23"/>
      <c r="AE34" s="23"/>
      <c r="AK34" s="23"/>
    </row>
    <row r="35" spans="18:37">
      <c r="R35" s="23"/>
      <c r="S35" s="23"/>
      <c r="V35" s="23"/>
      <c r="W35" s="23"/>
      <c r="AE35" s="23"/>
      <c r="AK35" s="23"/>
    </row>
    <row r="36" spans="18:37">
      <c r="R36" s="23"/>
      <c r="S36" s="23"/>
      <c r="V36" s="23"/>
      <c r="W36" s="23"/>
      <c r="AE36" s="23"/>
      <c r="AK36" s="23"/>
    </row>
    <row r="37" spans="18:37">
      <c r="R37" s="23"/>
      <c r="V37" s="23"/>
      <c r="W37" s="23"/>
      <c r="AE37" s="23"/>
      <c r="AK37" s="23"/>
    </row>
    <row r="38" spans="18:37">
      <c r="R38" s="23"/>
      <c r="V38" s="23"/>
      <c r="W38" s="23"/>
      <c r="AA38" s="52"/>
      <c r="AE38" s="23"/>
      <c r="AK38" s="23"/>
    </row>
    <row r="39" spans="18:37">
      <c r="R39" s="23"/>
      <c r="V39" s="23"/>
      <c r="W39" s="23"/>
      <c r="AE39" s="23"/>
      <c r="AK39" s="23"/>
    </row>
    <row r="40" spans="18:37">
      <c r="R40" s="23"/>
      <c r="S40" s="23"/>
      <c r="V40" s="23"/>
      <c r="W40" s="23"/>
      <c r="AE40" s="23"/>
      <c r="AK40" s="23"/>
    </row>
    <row r="41" spans="18:37">
      <c r="R41" s="23"/>
      <c r="S41" s="23"/>
      <c r="V41" s="23"/>
      <c r="W41" s="23"/>
      <c r="AE41" s="23"/>
      <c r="AK41" s="23"/>
    </row>
    <row r="42" spans="18:37">
      <c r="R42" s="23"/>
      <c r="S42" s="23"/>
      <c r="V42" s="23"/>
      <c r="W42" s="23"/>
      <c r="AE42" s="23"/>
      <c r="AK42" s="23"/>
    </row>
    <row r="43" spans="18:37">
      <c r="R43" s="23"/>
      <c r="S43" s="23"/>
      <c r="V43" s="23"/>
      <c r="W43" s="23"/>
      <c r="AE43" s="23"/>
      <c r="AK43" s="23"/>
    </row>
    <row r="44" spans="18:37">
      <c r="R44" s="23"/>
      <c r="S44" s="23"/>
      <c r="V44" s="23"/>
      <c r="W44" s="23"/>
      <c r="AE44" s="23"/>
      <c r="AK44" s="23"/>
    </row>
    <row r="45" spans="18:37">
      <c r="R45" s="23"/>
      <c r="S45" s="23"/>
      <c r="V45" s="23"/>
      <c r="W45" s="23"/>
      <c r="AE45" s="23"/>
      <c r="AK45" s="23"/>
    </row>
    <row r="46" spans="18:37">
      <c r="R46" s="23"/>
      <c r="S46" s="23"/>
      <c r="V46" s="23"/>
      <c r="W46" s="23"/>
      <c r="AE46" s="23"/>
      <c r="AK46" s="23"/>
    </row>
    <row r="47" spans="18:37">
      <c r="R47" s="23"/>
      <c r="S47" s="23"/>
      <c r="V47" s="23"/>
      <c r="W47" s="23"/>
      <c r="AE47" s="23"/>
      <c r="AK47" s="23"/>
    </row>
    <row r="48" spans="18:37">
      <c r="R48" s="23"/>
      <c r="S48" s="23"/>
      <c r="V48" s="23"/>
      <c r="W48" s="23"/>
      <c r="AE48" s="23"/>
      <c r="AK48" s="23"/>
    </row>
    <row r="49" spans="18:37">
      <c r="R49" s="23"/>
      <c r="S49" s="23"/>
      <c r="V49" s="23"/>
      <c r="W49" s="23"/>
      <c r="AE49" s="23"/>
      <c r="AK49" s="23"/>
    </row>
    <row r="50" spans="18:37">
      <c r="R50" s="23"/>
      <c r="S50" s="23"/>
      <c r="V50" s="23"/>
      <c r="W50" s="23"/>
      <c r="AE50" s="23"/>
      <c r="AK50" s="23"/>
    </row>
    <row r="51" spans="18:37">
      <c r="R51" s="23"/>
      <c r="S51" s="23"/>
      <c r="V51" s="23"/>
      <c r="W51" s="23"/>
      <c r="AE51" s="23"/>
      <c r="AK51" s="23"/>
    </row>
    <row r="52" spans="18:37">
      <c r="R52" s="23"/>
      <c r="S52" s="23"/>
      <c r="V52" s="23"/>
      <c r="W52" s="23"/>
      <c r="AE52" s="23"/>
      <c r="AK52" s="23"/>
    </row>
    <row r="53" spans="18:37">
      <c r="R53" s="23"/>
      <c r="S53" s="23"/>
      <c r="V53" s="23"/>
      <c r="W53" s="23"/>
      <c r="AE53" s="23"/>
      <c r="AK53" s="23"/>
    </row>
    <row r="54" spans="18:37">
      <c r="R54" s="23"/>
      <c r="S54" s="23"/>
      <c r="V54" s="23"/>
      <c r="W54" s="23"/>
      <c r="AE54" s="23"/>
      <c r="AK54" s="23"/>
    </row>
    <row r="55" spans="18:37">
      <c r="R55" s="23"/>
      <c r="S55" s="23"/>
      <c r="V55" s="23"/>
      <c r="W55" s="23"/>
      <c r="AE55" s="23"/>
      <c r="AK55" s="23"/>
    </row>
    <row r="56" spans="18:37">
      <c r="R56" s="23"/>
      <c r="S56" s="23"/>
      <c r="V56" s="23"/>
      <c r="W56" s="23"/>
      <c r="AE56" s="23"/>
      <c r="AK56" s="23"/>
    </row>
    <row r="57" spans="18:37">
      <c r="R57" s="23"/>
      <c r="S57" s="23"/>
      <c r="V57" s="23"/>
      <c r="W57" s="23"/>
      <c r="AE57" s="23"/>
      <c r="AK57" s="23"/>
    </row>
    <row r="58" spans="18:37">
      <c r="R58" s="23"/>
      <c r="S58" s="23"/>
      <c r="V58" s="23"/>
      <c r="W58" s="23"/>
      <c r="AE58" s="23"/>
      <c r="AK58" s="23"/>
    </row>
    <row r="59" spans="18:37">
      <c r="R59" s="23"/>
      <c r="S59" s="23"/>
      <c r="V59" s="23"/>
      <c r="W59" s="23"/>
      <c r="AE59" s="23"/>
      <c r="AK59" s="23"/>
    </row>
    <row r="60" spans="18:37">
      <c r="R60" s="23"/>
      <c r="S60" s="23"/>
      <c r="V60" s="23"/>
      <c r="W60" s="23"/>
      <c r="AE60" s="23"/>
      <c r="AK60" s="23"/>
    </row>
    <row r="61" spans="18:37">
      <c r="R61" s="23"/>
      <c r="S61" s="23"/>
      <c r="V61" s="23"/>
      <c r="W61" s="23"/>
      <c r="AE61" s="23"/>
      <c r="AK61" s="23"/>
    </row>
    <row r="62" spans="18:37">
      <c r="R62" s="23"/>
      <c r="S62" s="23"/>
      <c r="V62" s="23"/>
      <c r="W62" s="23"/>
      <c r="AE62" s="23"/>
      <c r="AK62" s="23"/>
    </row>
    <row r="63" spans="18:37">
      <c r="R63" s="23"/>
      <c r="S63" s="23"/>
      <c r="V63" s="23"/>
      <c r="W63" s="23"/>
      <c r="AE63" s="23"/>
      <c r="AK63" s="23"/>
    </row>
    <row r="64" spans="18:37">
      <c r="R64" s="23"/>
      <c r="S64" s="23"/>
      <c r="V64" s="23"/>
      <c r="W64" s="23"/>
      <c r="AE64" s="23"/>
      <c r="AK64" s="23"/>
    </row>
    <row r="65" spans="18:37">
      <c r="R65" s="23"/>
      <c r="S65" s="23"/>
      <c r="V65" s="23"/>
      <c r="W65" s="23"/>
      <c r="AE65" s="23"/>
      <c r="AK65" s="23"/>
    </row>
    <row r="66" spans="18:37">
      <c r="R66" s="23"/>
      <c r="S66" s="23"/>
      <c r="V66" s="23"/>
      <c r="W66" s="23"/>
      <c r="AE66" s="23"/>
      <c r="AK66" s="23"/>
    </row>
    <row r="67" spans="18:37">
      <c r="R67" s="23"/>
      <c r="S67" s="23"/>
      <c r="V67" s="23"/>
      <c r="W67" s="23"/>
      <c r="AE67" s="23"/>
      <c r="AK67" s="23"/>
    </row>
    <row r="68" spans="18:37">
      <c r="R68" s="23"/>
      <c r="S68" s="23"/>
      <c r="V68" s="23"/>
      <c r="W68" s="23"/>
      <c r="AE68" s="23"/>
      <c r="AK68" s="23"/>
    </row>
    <row r="69" spans="18:37">
      <c r="R69" s="23"/>
      <c r="S69" s="23"/>
      <c r="V69" s="23"/>
      <c r="W69" s="23"/>
      <c r="AE69" s="23"/>
      <c r="AK69" s="23"/>
    </row>
    <row r="70" spans="18:37">
      <c r="R70" s="23"/>
      <c r="S70" s="23"/>
      <c r="V70" s="23"/>
      <c r="W70" s="23"/>
      <c r="AE70" s="23"/>
      <c r="AK70" s="23"/>
    </row>
    <row r="71" spans="18:37">
      <c r="R71" s="23"/>
      <c r="S71" s="23"/>
      <c r="V71" s="23"/>
      <c r="W71" s="23"/>
      <c r="AE71" s="23"/>
      <c r="AK71" s="23"/>
    </row>
    <row r="72" spans="18:37">
      <c r="R72" s="23"/>
      <c r="S72" s="23"/>
      <c r="V72" s="23"/>
      <c r="W72" s="23"/>
      <c r="AE72" s="23"/>
      <c r="AK72" s="23"/>
    </row>
    <row r="73" spans="18:37">
      <c r="R73" s="23"/>
      <c r="S73" s="23"/>
      <c r="V73" s="23"/>
      <c r="W73" s="23"/>
      <c r="AE73" s="23"/>
      <c r="AK73" s="23"/>
    </row>
    <row r="74" spans="18:37">
      <c r="R74" s="23"/>
      <c r="S74" s="23"/>
      <c r="V74" s="23"/>
      <c r="W74" s="23"/>
      <c r="AE74" s="23"/>
      <c r="AK74" s="23"/>
    </row>
    <row r="75" spans="18:37">
      <c r="R75" s="23"/>
      <c r="S75" s="23"/>
      <c r="V75" s="23"/>
      <c r="W75" s="23"/>
      <c r="AE75" s="23"/>
      <c r="AK75" s="23"/>
    </row>
    <row r="76" spans="18:37">
      <c r="R76" s="23"/>
      <c r="S76" s="23"/>
      <c r="V76" s="23"/>
      <c r="W76" s="23"/>
      <c r="AE76" s="23"/>
      <c r="AK76" s="23"/>
    </row>
    <row r="77" spans="18:37">
      <c r="R77" s="23"/>
      <c r="S77" s="23"/>
      <c r="V77" s="23"/>
      <c r="W77" s="23"/>
      <c r="AE77" s="23"/>
      <c r="AK77" s="23"/>
    </row>
    <row r="78" spans="18:37">
      <c r="R78" s="23"/>
      <c r="S78" s="23"/>
      <c r="V78" s="23"/>
      <c r="W78" s="23"/>
      <c r="AE78" s="23"/>
      <c r="AK78" s="23"/>
    </row>
    <row r="79" spans="18:37">
      <c r="R79" s="23"/>
      <c r="S79" s="23"/>
      <c r="V79" s="23"/>
      <c r="W79" s="23"/>
      <c r="AE79" s="23"/>
      <c r="AK79" s="23"/>
    </row>
    <row r="80" spans="18:37">
      <c r="R80" s="23"/>
      <c r="S80" s="23"/>
      <c r="V80" s="23"/>
      <c r="W80" s="23"/>
      <c r="AE80" s="23"/>
      <c r="AK80" s="23"/>
    </row>
    <row r="81" spans="18:37">
      <c r="R81" s="23"/>
      <c r="S81" s="23"/>
      <c r="V81" s="23"/>
      <c r="W81" s="23"/>
      <c r="AE81" s="23"/>
      <c r="AK81" s="23"/>
    </row>
    <row r="82" spans="18:37">
      <c r="R82" s="23"/>
      <c r="S82" s="23"/>
      <c r="V82" s="23"/>
      <c r="W82" s="23"/>
      <c r="AE82" s="23"/>
      <c r="AK82" s="23"/>
    </row>
    <row r="83" spans="18:37">
      <c r="R83" s="23"/>
      <c r="S83" s="23"/>
      <c r="V83" s="23"/>
      <c r="W83" s="23"/>
      <c r="AE83" s="23"/>
      <c r="AK83" s="23"/>
    </row>
    <row r="84" spans="18:37">
      <c r="R84" s="23"/>
      <c r="S84" s="23"/>
      <c r="V84" s="23"/>
      <c r="W84" s="23"/>
      <c r="AE84" s="23"/>
      <c r="AK84" s="23"/>
    </row>
    <row r="85" spans="18:37">
      <c r="R85" s="23"/>
      <c r="S85" s="23"/>
      <c r="V85" s="23"/>
      <c r="W85" s="23"/>
      <c r="AE85" s="23"/>
      <c r="AK85" s="23"/>
    </row>
  </sheetData>
  <printOptions horizontalCentered="1" verticalCentered="1" headings="1" gridLines="1" gridLinesSet="0"/>
  <pageMargins left="0.5" right="0.5" top="0.8" bottom="0.7" header="0.5" footer="0.5"/>
  <pageSetup orientation="landscape" horizontalDpi="360" verticalDpi="360" r:id="rId1"/>
  <headerFooter alignWithMargins="0">
    <oddHeader>&amp;F</oddHeader>
    <oddFooter>Page &amp;P</oddFooter>
  </headerFooter>
  <colBreaks count="7" manualBreakCount="7">
    <brk id="6" max="1048575" man="1"/>
    <brk id="12" max="1048575" man="1"/>
    <brk id="19" max="1048575" man="1"/>
    <brk id="20" max="1048575" man="1"/>
    <brk id="27" max="1048575" man="1"/>
    <brk id="33" max="1048575" man="1"/>
    <brk id="3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4" baseType="lpstr">
      <vt:lpstr>MIC-MAC&amp;</vt:lpstr>
      <vt:lpstr>Chart</vt:lpstr>
      <vt:lpstr>Mat</vt:lpstr>
      <vt:lpstr>Strength_ratios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ortenzi</dc:creator>
  <cp:lastModifiedBy>Ortenzi, A.</cp:lastModifiedBy>
  <dcterms:created xsi:type="dcterms:W3CDTF">1999-03-14T03:46:44Z</dcterms:created>
  <dcterms:modified xsi:type="dcterms:W3CDTF">2013-06-22T14:08:41Z</dcterms:modified>
</cp:coreProperties>
</file>